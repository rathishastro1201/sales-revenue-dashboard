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 Data" sheetId="2" state="visible" r:id="rId4"/>
    <sheet name="Calculations" sheetId="3" state="hidden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<sst xmlns="http://schemas.openxmlformats.org/spreadsheetml/2006/main" count="667" uniqueCount="63">
  <si>
    <t xml:space="preserve">📊  SALES &amp; REVENUE ANALYSIS DASHBOARD</t>
  </si>
  <si>
    <t xml:space="preserve">KEY PERFORMANCE INDICATORS</t>
  </si>
  <si>
    <t xml:space="preserve">💰  Total Revenue</t>
  </si>
  <si>
    <t xml:space="preserve">📦  Total Orders</t>
  </si>
  <si>
    <t xml:space="preserve">🛒  Total Units Sold</t>
  </si>
  <si>
    <t xml:space="preserve">📈  Avg Order Value</t>
  </si>
  <si>
    <t xml:space="preserve">🏆  Top Product</t>
  </si>
  <si>
    <t xml:space="preserve">🌍  Best Region</t>
  </si>
  <si>
    <t xml:space="preserve">SALES ANALYTICS</t>
  </si>
  <si>
    <t xml:space="preserve">Order ID</t>
  </si>
  <si>
    <t xml:space="preserve">Date</t>
  </si>
  <si>
    <t xml:space="preserve">Product Name</t>
  </si>
  <si>
    <t xml:space="preserve">Category</t>
  </si>
  <si>
    <t xml:space="preserve">Region</t>
  </si>
  <si>
    <t xml:space="preserve">Sales Quantity</t>
  </si>
  <si>
    <t xml:space="preserve">Unit Price</t>
  </si>
  <si>
    <t xml:space="preserve">Revenue</t>
  </si>
  <si>
    <t xml:space="preserve">Headphones Pro</t>
  </si>
  <si>
    <t xml:space="preserve">Electronics</t>
  </si>
  <si>
    <t xml:space="preserve">South</t>
  </si>
  <si>
    <t xml:space="preserve">Keyboard MX</t>
  </si>
  <si>
    <t xml:space="preserve">East</t>
  </si>
  <si>
    <t xml:space="preserve">North</t>
  </si>
  <si>
    <t xml:space="preserve">USB-C Hub</t>
  </si>
  <si>
    <t xml:space="preserve">West</t>
  </si>
  <si>
    <t xml:space="preserve">Standing Desk</t>
  </si>
  <si>
    <t xml:space="preserve">Furniture</t>
  </si>
  <si>
    <t xml:space="preserve">Laptop Pro 15</t>
  </si>
  <si>
    <t xml:space="preserve">Central</t>
  </si>
  <si>
    <t xml:space="preserve">Monitor 27"</t>
  </si>
  <si>
    <t xml:space="preserve">Ergonomic Chair</t>
  </si>
  <si>
    <t xml:space="preserve">Desk Lamp LED</t>
  </si>
  <si>
    <t xml:space="preserve">Webcam 4K</t>
  </si>
  <si>
    <t xml:space="preserve">Wireless Mouse</t>
  </si>
  <si>
    <t xml:space="preserve">Month</t>
  </si>
  <si>
    <t xml:space="preserve">Month Num</t>
  </si>
  <si>
    <t xml:space="preserve">Quantity</t>
  </si>
  <si>
    <t xml:space="preserve">Product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</si>
  <si>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</si>
  <si>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</si>
  <si>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</si>
  <si>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</si>
  <si>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</si>
  <si>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</si>
  <si>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</si>
  <si>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</si>
  <si>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</si>
  <si>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</si>
  <si>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</si>
  <si>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</si>
  <si>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📘  HOW TO USE THIS DASHBOARD</t>
  </si>
  <si>
    <t xml:space="preserve">1. Edit Sales Data</t>
  </si>
  <si>
    <t xml:space="preserve">Go to 'Sales Data' tab → modify any Order ID, Date, Product, Category, Region, Quantity, or Price. Revenue auto-calculates.</t>
  </si>
  <si>
    <t xml:space="preserve">2. KPI Cards</t>
  </si>
  <si>
    <t xml:space="preserve">Return to 'Dashboard' to see all 6 KPI cards update instantly: Revenue, Orders, Units, AOV, Top Product, Best Region.</t>
  </si>
  <si>
    <t xml:space="preserve">3. Charts Auto-Refresh</t>
  </si>
  <si>
    <t xml:space="preserve">All 4 charts (Revenue Trend, Top Products, Regional Mix, Monthly Units) refresh automatically from the table.</t>
  </si>
  <si>
    <t xml:space="preserve">4. Add New Rows</t>
  </si>
  <si>
    <t xml:space="preserve">In 'Sales Data', add new rows inside the Excel Table (it will expand automatically). Revenue formula is pre-set.</t>
  </si>
  <si>
    <t xml:space="preserve">5. Filter &amp; Analyze</t>
  </si>
  <si>
    <t xml:space="preserve">Use Excel's built-in column filter arrows in 'Sales Data' to slice by date, product, category, or region.</t>
  </si>
  <si>
    <t xml:space="preserve">6. Sorting</t>
  </si>
  <si>
    <t xml:space="preserve">Click any column header in the Sales Data table to sort. Charts and KPIs always reflect visible + all data.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</si>
</sst>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#,##0"/>
    <numFmt numFmtId="167" formatCode="\₹###,##0.00"/>
    <numFmt numFmtId="168" formatCode="@"/>
    <numFmt numFmtId="169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sz val="9"/>
      <color rgb="FF475569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9F9F9"/>
      </patternFill>
    </fill>
    <fill>
      <patternFill patternType="solid">
        <fgColor rgb="FF1B2A4A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0D9488"/>
        <bgColor rgb="FF008080"/>
      </patternFill>
    </fill>
    <fill>
      <patternFill patternType="solid">
        <fgColor rgb="FFF97316"/>
        <bgColor rgb="FFFF9900"/>
      </patternFill>
    </fill>
    <fill>
      <patternFill patternType="solid">
        <fgColor rgb="FF16A34A"/>
        <bgColor rgb="FF0D9488"/>
      </patternFill>
    </fill>
    <fill>
      <patternFill patternType="solid">
        <fgColor rgb="FFFFFFFF"/>
        <bgColor rgb="FFF8FAF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2563EB"/>
      </left>
      <right style="medium">
        <color rgb="FF2563EB"/>
      </right>
      <top style="medium">
        <color rgb="FF2563EB"/>
      </top>
      <bottom style="thin">
        <color rgb="FFCBD5E1"/>
      </bottom>
      <diagonal/>
    </border>
    <border diagonalUp="false" diagonalDown="false">
      <left style="medium">
        <color rgb="FF0D9488"/>
      </left>
      <right style="medium">
        <color rgb="FF0D9488"/>
      </right>
      <top style="medium">
        <color rgb="FF0D9488"/>
      </top>
      <bottom style="thin">
        <color rgb="FFCBD5E1"/>
      </bottom>
      <diagonal/>
    </border>
    <border diagonalUp="false" diagonalDown="false">
      <left style="medium">
        <color rgb="FFF97316"/>
      </left>
      <right style="medium">
        <color rgb="FFF97316"/>
      </right>
      <top style="medium">
        <color rgb="FFF97316"/>
      </top>
      <bottom style="thin">
        <color rgb="FFCBD5E1"/>
      </bottom>
      <diagonal/>
    </border>
    <border diagonalUp="false" diagonalDown="false">
      <left style="medium">
        <color rgb="FF16A34A"/>
      </left>
      <right style="medium">
        <color rgb="FF16A34A"/>
      </right>
      <top style="medium">
        <color rgb="FF16A34A"/>
      </top>
      <bottom style="thin">
        <color rgb="FFCBD5E1"/>
      </bottom>
      <diagonal/>
    </border>
    <border diagonalUp="false" diagonalDown="false">
      <left style="medium">
        <color rgb="FF2563EB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0D948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F97316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16A34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993366"/>
      <rgbColor rgb="FFF9F9F9"/>
      <rgbColor rgb="FFF8FA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97316"/>
      <rgbColor rgb="FF475569"/>
      <rgbColor rgb="FF4F81BD"/>
      <rgbColor rgb="FF003366"/>
      <rgbColor rgb="FF16A34A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Calculations!C1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Calculations!$C$2:$C$13</c:f>
              <c:numCache>
                <c:formatCode>General</c:formatCode>
                <c:ptCount val="12"/>
                <c:pt idx="0">
                  <c:v>5212146.24</c:v>
                </c:pt>
                <c:pt idx="1">
                  <c:v>8625125.04</c:v>
                </c:pt>
                <c:pt idx="2">
                  <c:v>5218773</c:v>
                </c:pt>
                <c:pt idx="3">
                  <c:v>4709365.08</c:v>
                </c:pt>
                <c:pt idx="4">
                  <c:v>4646194.56</c:v>
                </c:pt>
                <c:pt idx="5">
                  <c:v>4206239.52</c:v>
                </c:pt>
                <c:pt idx="6">
                  <c:v>3049758.6</c:v>
                </c:pt>
                <c:pt idx="7">
                  <c:v>7341266.52</c:v>
                </c:pt>
                <c:pt idx="8">
                  <c:v>6816752.88</c:v>
                </c:pt>
                <c:pt idx="9">
                  <c:v>12790963.92</c:v>
                </c:pt>
                <c:pt idx="10">
                  <c:v>3731337.96</c:v>
                </c:pt>
                <c:pt idx="11">
                  <c:v>11503701.72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254333"/>
        <c:axId val="87707035"/>
      </c:lineChart>
      <c:catAx>
        <c:axId val="54254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07035"/>
        <c:crosses val="autoZero"/>
        <c:auto val="1"/>
        <c:lblAlgn val="ctr"/>
        <c:lblOffset val="100"/>
        <c:noMultiLvlLbl val="0"/>
      </c:catAx>
      <c:valAx>
        <c:axId val="87707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54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Calculations!G1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d94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Calculations!$F$2:$F$11</c:f>
              <c:strCache>
                <c:ptCount val="10"/>
                <c:pt idx="0">
                  <c:v>Desk Lamp LED</c:v>
                </c:pt>
                <c:pt idx="1">
                  <c:v>Ergonomic Chair</c:v>
                </c:pt>
                <c:pt idx="2">
                  <c:v>Headphones Pro</c:v>
                </c:pt>
                <c:pt idx="3">
                  <c:v>Keyboard MX</c:v>
                </c:pt>
                <c:pt idx="4">
                  <c:v>Laptop Pro 15</c:v>
                </c:pt>
                <c:pt idx="5">
                  <c:v>Monitor 27"</c:v>
                </c:pt>
                <c:pt idx="6">
                  <c:v>Standing Desk</c:v>
                </c:pt>
                <c:pt idx="7">
                  <c:v>USB-C Hub</c:v>
                </c:pt>
                <c:pt idx="8">
                  <c:v>Webcam 4K</c:v>
                </c:pt>
                <c:pt idx="9">
                  <c:v>Wireless Mouse</c:v>
                </c:pt>
              </c:strCache>
            </c:strRef>
          </c:cat>
          <c:val>
            <c:numRef>
              <c:f>Calculations!$G$2:$G$11</c:f>
              <c:numCache>
                <c:formatCode>General</c:formatCode>
                <c:ptCount val="10"/>
                <c:pt idx="0">
                  <c:v>1567515.6</c:v>
                </c:pt>
                <c:pt idx="1">
                  <c:v>12256103.16</c:v>
                </c:pt>
                <c:pt idx="2">
                  <c:v>5120334.24</c:v>
                </c:pt>
                <c:pt idx="3">
                  <c:v>3299023.56</c:v>
                </c:pt>
                <c:pt idx="4">
                  <c:v>25923891.84</c:v>
                </c:pt>
                <c:pt idx="5">
                  <c:v>7437281.88</c:v>
                </c:pt>
                <c:pt idx="6">
                  <c:v>16955860.32</c:v>
                </c:pt>
                <c:pt idx="7">
                  <c:v>1515595.2</c:v>
                </c:pt>
                <c:pt idx="8">
                  <c:v>2673756.96</c:v>
                </c:pt>
                <c:pt idx="9">
                  <c:v>1102262.28</c:v>
                </c:pt>
              </c:numCache>
            </c:numRef>
          </c:val>
        </c:ser>
        <c:gapWidth val="150"/>
        <c:overlap val="0"/>
        <c:axId val="9704070"/>
        <c:axId val="67598505"/>
      </c:barChart>
      <c:catAx>
        <c:axId val="970407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98505"/>
        <c:crosses val="autoZero"/>
        <c:auto val="1"/>
        <c:lblAlgn val="ctr"/>
        <c:lblOffset val="100"/>
        <c:noMultiLvlLbl val="0"/>
      </c:catAx>
      <c:valAx>
        <c:axId val="67598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40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Distribution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Calculations!K1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d948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9731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16a3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1b2a4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Calculations!$J$2:$J$6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Calculations!$K$2:$K$6</c:f>
              <c:numCache>
                <c:formatCode>General</c:formatCode>
                <c:ptCount val="5"/>
                <c:pt idx="0">
                  <c:v>20678462.28</c:v>
                </c:pt>
                <c:pt idx="1">
                  <c:v>14561859.48</c:v>
                </c:pt>
                <c:pt idx="2">
                  <c:v>17197577.88</c:v>
                </c:pt>
                <c:pt idx="3">
                  <c:v>11333208.6</c:v>
                </c:pt>
                <c:pt idx="4">
                  <c:v>14080516.8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Calculations!D1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f9731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Calculations!$D$2:$D$13</c:f>
              <c:numCache>
                <c:formatCode>General</c:formatCode>
                <c:ptCount val="12"/>
                <c:pt idx="0">
                  <c:v>173</c:v>
                </c:pt>
                <c:pt idx="1">
                  <c:v>281</c:v>
                </c:pt>
                <c:pt idx="2">
                  <c:v>211</c:v>
                </c:pt>
                <c:pt idx="3">
                  <c:v>184</c:v>
                </c:pt>
                <c:pt idx="4">
                  <c:v>192</c:v>
                </c:pt>
                <c:pt idx="5">
                  <c:v>192</c:v>
                </c:pt>
                <c:pt idx="6">
                  <c:v>149</c:v>
                </c:pt>
                <c:pt idx="7">
                  <c:v>232</c:v>
                </c:pt>
                <c:pt idx="8">
                  <c:v>183</c:v>
                </c:pt>
                <c:pt idx="9">
                  <c:v>309</c:v>
                </c:pt>
                <c:pt idx="10">
                  <c:v>162</c:v>
                </c:pt>
                <c:pt idx="11">
                  <c:v>289</c:v>
                </c:pt>
              </c:numCache>
            </c:numRef>
          </c:val>
        </c:ser>
        <c:gapWidth val="150"/>
        <c:overlap val="0"/>
        <c:axId val="67981707"/>
        <c:axId val="69510812"/>
      </c:barChart>
      <c:catAx>
        <c:axId val="67981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10812"/>
        <c:crosses val="autoZero"/>
        <c:auto val="1"/>
        <c:lblAlgn val="ctr"/>
        <c:lblOffset val="100"/>
        <c:noMultiLvlLbl val="0"/>
      </c:catAx>
      <c:valAx>
        <c:axId val="69510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817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558720</xdr:colOff>
      <xdr:row>18</xdr:row>
      <xdr:rowOff>132120</xdr:rowOff>
    </xdr:to>
    <xdr:graphicFrame>
      <xdr:nvGraphicFramePr>
        <xdr:cNvPr id="0" name="Chart 1"/>
        <xdr:cNvGraphicFramePr/>
      </xdr:nvGraphicFramePr>
      <xdr:xfrm>
        <a:off x="106560" y="3448080"/>
        <a:ext cx="647964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16</xdr:col>
      <xdr:colOff>75600</xdr:colOff>
      <xdr:row>18</xdr:row>
      <xdr:rowOff>132120</xdr:rowOff>
    </xdr:to>
    <xdr:graphicFrame>
      <xdr:nvGraphicFramePr>
        <xdr:cNvPr id="1" name="Chart 2"/>
        <xdr:cNvGraphicFramePr/>
      </xdr:nvGraphicFramePr>
      <xdr:xfrm>
        <a:off x="5181480" y="3448080"/>
        <a:ext cx="648036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16</xdr:row>
      <xdr:rowOff>0</xdr:rowOff>
    </xdr:from>
    <xdr:to>
      <xdr:col>6</xdr:col>
      <xdr:colOff>810360</xdr:colOff>
      <xdr:row>32</xdr:row>
      <xdr:rowOff>160920</xdr:rowOff>
    </xdr:to>
    <xdr:graphicFrame>
      <xdr:nvGraphicFramePr>
        <xdr:cNvPr id="2" name="Chart 3"/>
        <xdr:cNvGraphicFramePr/>
      </xdr:nvGraphicFramePr>
      <xdr:xfrm>
        <a:off x="106560" y="6086520"/>
        <a:ext cx="503964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16</xdr:col>
      <xdr:colOff>75600</xdr:colOff>
      <xdr:row>32</xdr:row>
      <xdr:rowOff>160920</xdr:rowOff>
    </xdr:to>
    <xdr:graphicFrame>
      <xdr:nvGraphicFramePr>
        <xdr:cNvPr id="3" name="Chart 4"/>
        <xdr:cNvGraphicFramePr/>
      </xdr:nvGraphicFramePr>
      <xdr:xfrm>
        <a:off x="5181480" y="6086520"/>
        <a:ext cx="648036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H201" headerRowCount="1" totalsRowCount="0" totalsRowShown="0">
  <autoFilter ref="A1:H201"/>
  <tableColumns count="8">
    <tableColumn id="1" name="Order ID"/>
    <tableColumn id="2" name="Date"/>
    <tableColumn id="3" name="Product Name"/>
    <tableColumn id="4" name="Category"/>
    <tableColumn id="5" name="Region"/>
    <tableColumn id="6" name="Sales Quantity"/>
    <tableColumn id="7" name="Unit Price"/>
    <tableColumn id="8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13" min="2" style="1" width="12"/>
    <col collapsed="false" customWidth="true" hidden="false" outlineLevel="0" max="14" min="14" style="1" width="1.51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49.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8" hidden="false" customHeight="true" outlineLevel="0" collapsed="false">
      <c r="A4" s="2"/>
      <c r="B4" s="4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.75" hidden="false" customHeight="true" outlineLevel="0" collapsed="false">
      <c r="A5" s="2"/>
      <c r="B5" s="5"/>
      <c r="C5" s="5"/>
      <c r="D5" s="6"/>
      <c r="E5" s="6"/>
      <c r="F5" s="7"/>
      <c r="G5" s="7"/>
      <c r="H5" s="8"/>
      <c r="I5" s="8"/>
      <c r="J5" s="5"/>
      <c r="K5" s="5"/>
      <c r="L5" s="6"/>
      <c r="M5" s="6"/>
      <c r="N5" s="2"/>
    </row>
    <row r="6" customFormat="false" ht="15.75" hidden="false" customHeight="true" outlineLevel="0" collapsed="false">
      <c r="A6" s="2"/>
      <c r="B6" s="9" t="s">
        <v>2</v>
      </c>
      <c r="C6" s="9"/>
      <c r="D6" s="10" t="s">
        <v>3</v>
      </c>
      <c r="E6" s="10"/>
      <c r="F6" s="11" t="s">
        <v>4</v>
      </c>
      <c r="G6" s="11"/>
      <c r="H6" s="12" t="s">
        <v>5</v>
      </c>
      <c r="I6" s="12"/>
      <c r="J6" s="9" t="s">
        <v>6</v>
      </c>
      <c r="K6" s="9"/>
      <c r="L6" s="10" t="s">
        <v>7</v>
      </c>
      <c r="M6" s="10"/>
      <c r="N6" s="2"/>
    </row>
    <row r="7" customFormat="false" ht="15.75" hidden="false" customHeight="true" outlineLevel="0" collapsed="false">
      <c r="A7" s="2"/>
      <c r="B7" s="13" t="n">
        <f aca="false">SUM('Sales Data'!H2:H201)</f>
        <v>77851625.04</v>
      </c>
      <c r="C7" s="13"/>
      <c r="D7" s="14" t="n">
        <f aca="false">COUNTA('Sales Data'!A2:A201)</f>
        <v>200</v>
      </c>
      <c r="E7" s="14"/>
      <c r="F7" s="15" t="n">
        <f aca="false">SUM('Sales Data'!F2:F201)</f>
        <v>2557</v>
      </c>
      <c r="G7" s="15"/>
      <c r="H7" s="16" t="n">
        <f aca="false">IFERROR(SUM('Sales Data'!H2:H201)/COUNTA('Sales Data'!A2:A201),0)</f>
        <v>389258.1252</v>
      </c>
      <c r="I7" s="16"/>
      <c r="J7" s="17" t="str">
        <f aca="false">INDEX('Sales Data'!C2:C201,MATCH(MAX(COUNTIF('Sales Data'!C2:C201,'Sales Data'!C2:C201)),COUNTIF('Sales Data'!C2:C201,'Sales Data'!C2:C201),0))</f>
        <v>USB-C Hub</v>
      </c>
      <c r="K7" s="17"/>
      <c r="L7" s="18" t="str">
        <f aca="false">INDEX('Sales Data'!E2:E201,MATCH(MAX(SUMIF('Sales Data'!E2:E201,'Sales Data'!E2:E201,'Sales Data'!H2:H201)),SUMIF('Sales Data'!E2:E201,'Sales Data'!E2:E201,'Sales Data'!H2:H201),0))</f>
        <v>West</v>
      </c>
      <c r="M7" s="18"/>
      <c r="N7" s="2"/>
    </row>
    <row r="8" customFormat="false" ht="9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60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60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9.75" hidden="false" customHeight="true" outlineLevel="0" collapsed="false">
      <c r="A11" s="2"/>
      <c r="B11" s="19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8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60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60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60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9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49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9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</sheetData>
  <mergeCells count="19">
    <mergeCell ref="B2:M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5"/>
  </cols>
  <sheetData>
    <row r="1" customFormat="false" ht="15" hidden="false" customHeight="true" outlineLevel="0" collapsed="false">
      <c r="A1" s="20" t="s">
        <v>9</v>
      </c>
      <c r="B1" s="20" t="s">
        <v>10</v>
      </c>
      <c r="C1" s="20" t="s">
        <v>11</v>
      </c>
      <c r="D1" s="20" t="s">
        <v>12</v>
      </c>
      <c r="E1" s="20" t="s">
        <v>13</v>
      </c>
      <c r="F1" s="20" t="s">
        <v>14</v>
      </c>
      <c r="G1" s="20" t="s">
        <v>15</v>
      </c>
      <c r="H1" s="20" t="s">
        <v>16</v>
      </c>
    </row>
    <row r="2" customFormat="false" ht="15" hidden="false" customHeight="true" outlineLevel="0" collapsed="false">
      <c r="A2" s="21" t="n">
        <v>1</v>
      </c>
      <c r="B2" s="22" t="n">
        <v>45292</v>
      </c>
      <c r="C2" s="21" t="s">
        <v>17</v>
      </c>
      <c r="D2" s="21" t="s">
        <v>18</v>
      </c>
      <c r="E2" s="21" t="s">
        <v>19</v>
      </c>
      <c r="F2" s="21" t="n">
        <v>18</v>
      </c>
      <c r="G2" s="23" t="n">
        <v>28416.36</v>
      </c>
      <c r="H2" s="24" t="n">
        <f aca="false">F2*G2</f>
        <v>511494.48</v>
      </c>
    </row>
    <row r="3" customFormat="false" ht="15" hidden="false" customHeight="true" outlineLevel="0" collapsed="false">
      <c r="A3" s="25" t="n">
        <v>2</v>
      </c>
      <c r="B3" s="26" t="n">
        <v>45292</v>
      </c>
      <c r="C3" s="25" t="s">
        <v>17</v>
      </c>
      <c r="D3" s="25" t="s">
        <v>18</v>
      </c>
      <c r="E3" s="25" t="s">
        <v>19</v>
      </c>
      <c r="F3" s="25" t="n">
        <v>2</v>
      </c>
      <c r="G3" s="27" t="n">
        <v>25504.92</v>
      </c>
      <c r="H3" s="28" t="n">
        <f aca="false">F3*G3</f>
        <v>51009.84</v>
      </c>
    </row>
    <row r="4" customFormat="false" ht="15" hidden="false" customHeight="true" outlineLevel="0" collapsed="false">
      <c r="A4" s="21" t="n">
        <v>3</v>
      </c>
      <c r="B4" s="22" t="n">
        <v>45293</v>
      </c>
      <c r="C4" s="21" t="s">
        <v>20</v>
      </c>
      <c r="D4" s="21" t="s">
        <v>18</v>
      </c>
      <c r="E4" s="21" t="s">
        <v>21</v>
      </c>
      <c r="F4" s="21" t="n">
        <v>15</v>
      </c>
      <c r="G4" s="23" t="n">
        <v>10470.6</v>
      </c>
      <c r="H4" s="24" t="n">
        <f aca="false">F4*G4</f>
        <v>157059</v>
      </c>
    </row>
    <row r="5" customFormat="false" ht="15" hidden="false" customHeight="true" outlineLevel="0" collapsed="false">
      <c r="A5" s="25" t="n">
        <v>4</v>
      </c>
      <c r="B5" s="26" t="n">
        <v>45296</v>
      </c>
      <c r="C5" s="25" t="s">
        <v>17</v>
      </c>
      <c r="D5" s="25" t="s">
        <v>18</v>
      </c>
      <c r="E5" s="25" t="s">
        <v>22</v>
      </c>
      <c r="F5" s="25" t="n">
        <v>22</v>
      </c>
      <c r="G5" s="27" t="n">
        <v>24484.32</v>
      </c>
      <c r="H5" s="28" t="n">
        <f aca="false">F5*G5</f>
        <v>538655.04</v>
      </c>
    </row>
    <row r="6" customFormat="false" ht="15" hidden="false" customHeight="true" outlineLevel="0" collapsed="false">
      <c r="A6" s="21" t="n">
        <v>5</v>
      </c>
      <c r="B6" s="22" t="n">
        <v>45297</v>
      </c>
      <c r="C6" s="21" t="s">
        <v>17</v>
      </c>
      <c r="D6" s="21" t="s">
        <v>18</v>
      </c>
      <c r="E6" s="21" t="s">
        <v>19</v>
      </c>
      <c r="F6" s="21" t="n">
        <v>3</v>
      </c>
      <c r="G6" s="23" t="n">
        <v>28557.48</v>
      </c>
      <c r="H6" s="24" t="n">
        <f aca="false">F6*G6</f>
        <v>85672.44</v>
      </c>
    </row>
    <row r="7" customFormat="false" ht="15" hidden="false" customHeight="true" outlineLevel="0" collapsed="false">
      <c r="A7" s="25" t="n">
        <v>6</v>
      </c>
      <c r="B7" s="26" t="n">
        <v>45304</v>
      </c>
      <c r="C7" s="25" t="s">
        <v>23</v>
      </c>
      <c r="D7" s="25" t="s">
        <v>18</v>
      </c>
      <c r="E7" s="25" t="s">
        <v>24</v>
      </c>
      <c r="F7" s="25" t="n">
        <v>11</v>
      </c>
      <c r="G7" s="27" t="n">
        <v>7194.6</v>
      </c>
      <c r="H7" s="28" t="n">
        <f aca="false">F7*G7</f>
        <v>79140.6</v>
      </c>
    </row>
    <row r="8" customFormat="false" ht="15" hidden="false" customHeight="true" outlineLevel="0" collapsed="false">
      <c r="A8" s="21" t="n">
        <v>7</v>
      </c>
      <c r="B8" s="22" t="n">
        <v>45304</v>
      </c>
      <c r="C8" s="21" t="s">
        <v>25</v>
      </c>
      <c r="D8" s="21" t="s">
        <v>26</v>
      </c>
      <c r="E8" s="21" t="s">
        <v>22</v>
      </c>
      <c r="F8" s="21" t="n">
        <v>9</v>
      </c>
      <c r="G8" s="23" t="n">
        <v>46098.36</v>
      </c>
      <c r="H8" s="24" t="n">
        <f aca="false">F8*G8</f>
        <v>414885.24</v>
      </c>
    </row>
    <row r="9" customFormat="false" ht="15" hidden="false" customHeight="true" outlineLevel="0" collapsed="false">
      <c r="A9" s="25" t="n">
        <v>8</v>
      </c>
      <c r="B9" s="26" t="n">
        <v>45304</v>
      </c>
      <c r="C9" s="25" t="s">
        <v>27</v>
      </c>
      <c r="D9" s="25" t="s">
        <v>18</v>
      </c>
      <c r="E9" s="25" t="s">
        <v>28</v>
      </c>
      <c r="F9" s="25" t="n">
        <v>16</v>
      </c>
      <c r="G9" s="27" t="n">
        <v>104883.24</v>
      </c>
      <c r="H9" s="28" t="n">
        <f aca="false">F9*G9</f>
        <v>1678131.84</v>
      </c>
    </row>
    <row r="10" customFormat="false" ht="15" hidden="false" customHeight="true" outlineLevel="0" collapsed="false">
      <c r="A10" s="21" t="n">
        <v>9</v>
      </c>
      <c r="B10" s="22" t="n">
        <v>45305</v>
      </c>
      <c r="C10" s="21" t="s">
        <v>20</v>
      </c>
      <c r="D10" s="21" t="s">
        <v>18</v>
      </c>
      <c r="E10" s="21" t="s">
        <v>22</v>
      </c>
      <c r="F10" s="21" t="n">
        <v>22</v>
      </c>
      <c r="G10" s="23" t="n">
        <v>11355.96</v>
      </c>
      <c r="H10" s="24" t="n">
        <f aca="false">F10*G10</f>
        <v>249831.12</v>
      </c>
    </row>
    <row r="11" customFormat="false" ht="15" hidden="false" customHeight="true" outlineLevel="0" collapsed="false">
      <c r="A11" s="25" t="n">
        <v>10</v>
      </c>
      <c r="B11" s="26" t="n">
        <v>45307</v>
      </c>
      <c r="C11" s="25" t="s">
        <v>25</v>
      </c>
      <c r="D11" s="25" t="s">
        <v>26</v>
      </c>
      <c r="E11" s="25" t="s">
        <v>28</v>
      </c>
      <c r="F11" s="25" t="n">
        <v>1</v>
      </c>
      <c r="G11" s="27" t="n">
        <v>43802.64</v>
      </c>
      <c r="H11" s="28" t="n">
        <f aca="false">F11*G11</f>
        <v>43802.64</v>
      </c>
    </row>
    <row r="12" customFormat="false" ht="15" hidden="false" customHeight="true" outlineLevel="0" collapsed="false">
      <c r="A12" s="21" t="n">
        <v>11</v>
      </c>
      <c r="B12" s="22" t="n">
        <v>45308</v>
      </c>
      <c r="C12" s="21" t="s">
        <v>25</v>
      </c>
      <c r="D12" s="21" t="s">
        <v>26</v>
      </c>
      <c r="E12" s="21" t="s">
        <v>24</v>
      </c>
      <c r="F12" s="21" t="n">
        <v>10</v>
      </c>
      <c r="G12" s="23" t="n">
        <v>44825.76</v>
      </c>
      <c r="H12" s="24" t="n">
        <f aca="false">F12*G12</f>
        <v>448257.6</v>
      </c>
    </row>
    <row r="13" customFormat="false" ht="15" hidden="false" customHeight="true" outlineLevel="0" collapsed="false">
      <c r="A13" s="25" t="n">
        <v>12</v>
      </c>
      <c r="B13" s="26" t="n">
        <v>45312</v>
      </c>
      <c r="C13" s="25" t="s">
        <v>29</v>
      </c>
      <c r="D13" s="25" t="s">
        <v>18</v>
      </c>
      <c r="E13" s="25" t="s">
        <v>22</v>
      </c>
      <c r="F13" s="25" t="n">
        <v>8</v>
      </c>
      <c r="G13" s="27" t="n">
        <v>35925.12</v>
      </c>
      <c r="H13" s="28" t="n">
        <f aca="false">F13*G13</f>
        <v>287400.96</v>
      </c>
    </row>
    <row r="14" customFormat="false" ht="15" hidden="false" customHeight="true" outlineLevel="0" collapsed="false">
      <c r="A14" s="21" t="n">
        <v>13</v>
      </c>
      <c r="B14" s="22" t="n">
        <v>45317</v>
      </c>
      <c r="C14" s="21" t="s">
        <v>30</v>
      </c>
      <c r="D14" s="21" t="s">
        <v>26</v>
      </c>
      <c r="E14" s="21" t="s">
        <v>24</v>
      </c>
      <c r="F14" s="21" t="n">
        <v>7</v>
      </c>
      <c r="G14" s="23" t="n">
        <v>32505.48</v>
      </c>
      <c r="H14" s="24" t="n">
        <f aca="false">F14*G14</f>
        <v>227538.36</v>
      </c>
    </row>
    <row r="15" customFormat="false" ht="15" hidden="false" customHeight="true" outlineLevel="0" collapsed="false">
      <c r="A15" s="25" t="n">
        <v>14</v>
      </c>
      <c r="B15" s="26" t="n">
        <v>45321</v>
      </c>
      <c r="C15" s="25" t="s">
        <v>25</v>
      </c>
      <c r="D15" s="25" t="s">
        <v>26</v>
      </c>
      <c r="E15" s="25" t="s">
        <v>22</v>
      </c>
      <c r="F15" s="25" t="n">
        <v>3</v>
      </c>
      <c r="G15" s="27" t="n">
        <v>51627.24</v>
      </c>
      <c r="H15" s="28" t="n">
        <f aca="false">F15*G15</f>
        <v>154881.72</v>
      </c>
    </row>
    <row r="16" customFormat="false" ht="15" hidden="false" customHeight="true" outlineLevel="0" collapsed="false">
      <c r="A16" s="21" t="n">
        <v>15</v>
      </c>
      <c r="B16" s="22" t="n">
        <v>45321</v>
      </c>
      <c r="C16" s="21" t="s">
        <v>17</v>
      </c>
      <c r="D16" s="21" t="s">
        <v>18</v>
      </c>
      <c r="E16" s="21" t="s">
        <v>22</v>
      </c>
      <c r="F16" s="21" t="n">
        <v>6</v>
      </c>
      <c r="G16" s="23" t="n">
        <v>23107.56</v>
      </c>
      <c r="H16" s="24" t="n">
        <f aca="false">F16*G16</f>
        <v>138645.36</v>
      </c>
    </row>
    <row r="17" customFormat="false" ht="15" hidden="false" customHeight="true" outlineLevel="0" collapsed="false">
      <c r="A17" s="25" t="n">
        <v>16</v>
      </c>
      <c r="B17" s="26" t="n">
        <v>45322</v>
      </c>
      <c r="C17" s="25" t="s">
        <v>23</v>
      </c>
      <c r="D17" s="25" t="s">
        <v>18</v>
      </c>
      <c r="E17" s="25" t="s">
        <v>28</v>
      </c>
      <c r="F17" s="25" t="n">
        <v>20</v>
      </c>
      <c r="G17" s="27" t="n">
        <v>7287</v>
      </c>
      <c r="H17" s="28" t="n">
        <f aca="false">F17*G17</f>
        <v>145740</v>
      </c>
    </row>
    <row r="18" customFormat="false" ht="15" hidden="false" customHeight="true" outlineLevel="0" collapsed="false">
      <c r="A18" s="21" t="n">
        <v>17</v>
      </c>
      <c r="B18" s="22" t="n">
        <v>45323</v>
      </c>
      <c r="C18" s="21" t="s">
        <v>20</v>
      </c>
      <c r="D18" s="21" t="s">
        <v>18</v>
      </c>
      <c r="E18" s="21" t="s">
        <v>19</v>
      </c>
      <c r="F18" s="21" t="n">
        <v>4</v>
      </c>
      <c r="G18" s="23" t="n">
        <v>11724.72</v>
      </c>
      <c r="H18" s="24" t="n">
        <f aca="false">F18*G18</f>
        <v>46898.88</v>
      </c>
    </row>
    <row r="19" customFormat="false" ht="15" hidden="false" customHeight="true" outlineLevel="0" collapsed="false">
      <c r="A19" s="25" t="n">
        <v>18</v>
      </c>
      <c r="B19" s="26" t="n">
        <v>45324</v>
      </c>
      <c r="C19" s="25" t="s">
        <v>20</v>
      </c>
      <c r="D19" s="25" t="s">
        <v>18</v>
      </c>
      <c r="E19" s="25" t="s">
        <v>28</v>
      </c>
      <c r="F19" s="25" t="n">
        <v>15</v>
      </c>
      <c r="G19" s="27" t="n">
        <v>10786.44</v>
      </c>
      <c r="H19" s="28" t="n">
        <f aca="false">F19*G19</f>
        <v>161796.6</v>
      </c>
    </row>
    <row r="20" customFormat="false" ht="15" hidden="false" customHeight="true" outlineLevel="0" collapsed="false">
      <c r="A20" s="21" t="n">
        <v>19</v>
      </c>
      <c r="B20" s="22" t="n">
        <v>45324</v>
      </c>
      <c r="C20" s="21" t="s">
        <v>29</v>
      </c>
      <c r="D20" s="21" t="s">
        <v>18</v>
      </c>
      <c r="E20" s="21" t="s">
        <v>19</v>
      </c>
      <c r="F20" s="21" t="n">
        <v>18</v>
      </c>
      <c r="G20" s="23" t="n">
        <v>34142.64</v>
      </c>
      <c r="H20" s="24" t="n">
        <f aca="false">F20*G20</f>
        <v>614567.52</v>
      </c>
    </row>
    <row r="21" customFormat="false" ht="15" hidden="false" customHeight="true" outlineLevel="0" collapsed="false">
      <c r="A21" s="25" t="n">
        <v>20</v>
      </c>
      <c r="B21" s="26" t="n">
        <v>45325</v>
      </c>
      <c r="C21" s="25" t="s">
        <v>25</v>
      </c>
      <c r="D21" s="25" t="s">
        <v>26</v>
      </c>
      <c r="E21" s="25" t="s">
        <v>21</v>
      </c>
      <c r="F21" s="25" t="n">
        <v>19</v>
      </c>
      <c r="G21" s="27" t="n">
        <v>52032.12</v>
      </c>
      <c r="H21" s="28" t="n">
        <f aca="false">F21*G21</f>
        <v>988610.28</v>
      </c>
    </row>
    <row r="22" customFormat="false" ht="15" hidden="false" customHeight="true" outlineLevel="0" collapsed="false">
      <c r="A22" s="21" t="n">
        <v>21</v>
      </c>
      <c r="B22" s="22" t="n">
        <v>45327</v>
      </c>
      <c r="C22" s="21" t="s">
        <v>25</v>
      </c>
      <c r="D22" s="21" t="s">
        <v>26</v>
      </c>
      <c r="E22" s="21" t="s">
        <v>24</v>
      </c>
      <c r="F22" s="21" t="n">
        <v>6</v>
      </c>
      <c r="G22" s="23" t="n">
        <v>45764.88</v>
      </c>
      <c r="H22" s="24" t="n">
        <f aca="false">F22*G22</f>
        <v>274589.28</v>
      </c>
    </row>
    <row r="23" customFormat="false" ht="15" hidden="false" customHeight="true" outlineLevel="0" collapsed="false">
      <c r="A23" s="25" t="n">
        <v>22</v>
      </c>
      <c r="B23" s="26" t="n">
        <v>45327</v>
      </c>
      <c r="C23" s="25" t="s">
        <v>17</v>
      </c>
      <c r="D23" s="25" t="s">
        <v>18</v>
      </c>
      <c r="E23" s="25" t="s">
        <v>24</v>
      </c>
      <c r="F23" s="25" t="n">
        <v>1</v>
      </c>
      <c r="G23" s="27" t="n">
        <v>26670</v>
      </c>
      <c r="H23" s="28" t="n">
        <f aca="false">F23*G23</f>
        <v>26670</v>
      </c>
    </row>
    <row r="24" customFormat="false" ht="15" hidden="false" customHeight="true" outlineLevel="0" collapsed="false">
      <c r="A24" s="21" t="n">
        <v>23</v>
      </c>
      <c r="B24" s="22" t="n">
        <v>45328</v>
      </c>
      <c r="C24" s="21" t="s">
        <v>25</v>
      </c>
      <c r="D24" s="21" t="s">
        <v>26</v>
      </c>
      <c r="E24" s="21" t="s">
        <v>28</v>
      </c>
      <c r="F24" s="21" t="n">
        <v>21</v>
      </c>
      <c r="G24" s="23" t="n">
        <v>52156.44</v>
      </c>
      <c r="H24" s="24" t="n">
        <f aca="false">F24*G24</f>
        <v>1095285.24</v>
      </c>
    </row>
    <row r="25" customFormat="false" ht="15" hidden="false" customHeight="true" outlineLevel="0" collapsed="false">
      <c r="A25" s="25" t="n">
        <v>24</v>
      </c>
      <c r="B25" s="26" t="n">
        <v>45329</v>
      </c>
      <c r="C25" s="25" t="s">
        <v>31</v>
      </c>
      <c r="D25" s="25" t="s">
        <v>26</v>
      </c>
      <c r="E25" s="25" t="s">
        <v>28</v>
      </c>
      <c r="F25" s="25" t="n">
        <v>21</v>
      </c>
      <c r="G25" s="27" t="n">
        <v>5479.32</v>
      </c>
      <c r="H25" s="28" t="n">
        <f aca="false">F25*G25</f>
        <v>115065.72</v>
      </c>
    </row>
    <row r="26" customFormat="false" ht="15" hidden="false" customHeight="true" outlineLevel="0" collapsed="false">
      <c r="A26" s="21" t="n">
        <v>25</v>
      </c>
      <c r="B26" s="22" t="n">
        <v>45329</v>
      </c>
      <c r="C26" s="21" t="s">
        <v>32</v>
      </c>
      <c r="D26" s="21" t="s">
        <v>18</v>
      </c>
      <c r="E26" s="21" t="s">
        <v>19</v>
      </c>
      <c r="F26" s="21" t="n">
        <v>2</v>
      </c>
      <c r="G26" s="23" t="n">
        <v>17674.44</v>
      </c>
      <c r="H26" s="24" t="n">
        <f aca="false">F26*G26</f>
        <v>35348.88</v>
      </c>
    </row>
    <row r="27" customFormat="false" ht="15" hidden="false" customHeight="true" outlineLevel="0" collapsed="false">
      <c r="A27" s="25" t="n">
        <v>26</v>
      </c>
      <c r="B27" s="26" t="n">
        <v>45330</v>
      </c>
      <c r="C27" s="25" t="s">
        <v>32</v>
      </c>
      <c r="D27" s="25" t="s">
        <v>18</v>
      </c>
      <c r="E27" s="25" t="s">
        <v>19</v>
      </c>
      <c r="F27" s="25" t="n">
        <v>21</v>
      </c>
      <c r="G27" s="27" t="n">
        <v>17930.64</v>
      </c>
      <c r="H27" s="28" t="n">
        <f aca="false">F27*G27</f>
        <v>376543.44</v>
      </c>
    </row>
    <row r="28" customFormat="false" ht="15" hidden="false" customHeight="true" outlineLevel="0" collapsed="false">
      <c r="A28" s="21" t="n">
        <v>27</v>
      </c>
      <c r="B28" s="22" t="n">
        <v>45331</v>
      </c>
      <c r="C28" s="21" t="s">
        <v>30</v>
      </c>
      <c r="D28" s="21" t="s">
        <v>26</v>
      </c>
      <c r="E28" s="21" t="s">
        <v>21</v>
      </c>
      <c r="F28" s="21" t="n">
        <v>11</v>
      </c>
      <c r="G28" s="23" t="n">
        <v>31323.6</v>
      </c>
      <c r="H28" s="24" t="n">
        <f aca="false">F28*G28</f>
        <v>344559.6</v>
      </c>
    </row>
    <row r="29" customFormat="false" ht="15" hidden="false" customHeight="true" outlineLevel="0" collapsed="false">
      <c r="A29" s="25" t="n">
        <v>28</v>
      </c>
      <c r="B29" s="26" t="n">
        <v>45334</v>
      </c>
      <c r="C29" s="25" t="s">
        <v>20</v>
      </c>
      <c r="D29" s="25" t="s">
        <v>18</v>
      </c>
      <c r="E29" s="25" t="s">
        <v>19</v>
      </c>
      <c r="F29" s="25" t="n">
        <v>15</v>
      </c>
      <c r="G29" s="27" t="n">
        <v>10120.32</v>
      </c>
      <c r="H29" s="28" t="n">
        <f aca="false">F29*G29</f>
        <v>151804.8</v>
      </c>
    </row>
    <row r="30" customFormat="false" ht="15" hidden="false" customHeight="true" outlineLevel="0" collapsed="false">
      <c r="A30" s="21" t="n">
        <v>29</v>
      </c>
      <c r="B30" s="22" t="n">
        <v>45336</v>
      </c>
      <c r="C30" s="21" t="s">
        <v>32</v>
      </c>
      <c r="D30" s="21" t="s">
        <v>18</v>
      </c>
      <c r="E30" s="21" t="s">
        <v>22</v>
      </c>
      <c r="F30" s="21" t="n">
        <v>1</v>
      </c>
      <c r="G30" s="23" t="n">
        <v>16807.56</v>
      </c>
      <c r="H30" s="24" t="n">
        <f aca="false">F30*G30</f>
        <v>16807.56</v>
      </c>
    </row>
    <row r="31" customFormat="false" ht="15" hidden="false" customHeight="true" outlineLevel="0" collapsed="false">
      <c r="A31" s="25" t="n">
        <v>30</v>
      </c>
      <c r="B31" s="26" t="n">
        <v>45339</v>
      </c>
      <c r="C31" s="25" t="s">
        <v>25</v>
      </c>
      <c r="D31" s="25" t="s">
        <v>26</v>
      </c>
      <c r="E31" s="25" t="s">
        <v>24</v>
      </c>
      <c r="F31" s="25" t="n">
        <v>16</v>
      </c>
      <c r="G31" s="27" t="n">
        <v>43422.12</v>
      </c>
      <c r="H31" s="28" t="n">
        <f aca="false">F31*G31</f>
        <v>694753.92</v>
      </c>
    </row>
    <row r="32" customFormat="false" ht="15" hidden="false" customHeight="true" outlineLevel="0" collapsed="false">
      <c r="A32" s="21" t="n">
        <v>31</v>
      </c>
      <c r="B32" s="22" t="n">
        <v>45339</v>
      </c>
      <c r="C32" s="21" t="s">
        <v>20</v>
      </c>
      <c r="D32" s="21" t="s">
        <v>18</v>
      </c>
      <c r="E32" s="21" t="s">
        <v>22</v>
      </c>
      <c r="F32" s="21" t="n">
        <v>2</v>
      </c>
      <c r="G32" s="23" t="n">
        <v>11999.4</v>
      </c>
      <c r="H32" s="24" t="n">
        <f aca="false">F32*G32</f>
        <v>23998.8</v>
      </c>
    </row>
    <row r="33" customFormat="false" ht="15" hidden="false" customHeight="true" outlineLevel="0" collapsed="false">
      <c r="A33" s="25" t="n">
        <v>32</v>
      </c>
      <c r="B33" s="26" t="n">
        <v>45340</v>
      </c>
      <c r="C33" s="25" t="s">
        <v>33</v>
      </c>
      <c r="D33" s="25" t="s">
        <v>18</v>
      </c>
      <c r="E33" s="25" t="s">
        <v>24</v>
      </c>
      <c r="F33" s="25" t="n">
        <v>12</v>
      </c>
      <c r="G33" s="27" t="n">
        <v>4024.44</v>
      </c>
      <c r="H33" s="28" t="n">
        <f aca="false">F33*G33</f>
        <v>48293.28</v>
      </c>
    </row>
    <row r="34" customFormat="false" ht="15" hidden="false" customHeight="true" outlineLevel="0" collapsed="false">
      <c r="A34" s="21" t="n">
        <v>33</v>
      </c>
      <c r="B34" s="22" t="n">
        <v>45344</v>
      </c>
      <c r="C34" s="21" t="s">
        <v>33</v>
      </c>
      <c r="D34" s="21" t="s">
        <v>18</v>
      </c>
      <c r="E34" s="21" t="s">
        <v>21</v>
      </c>
      <c r="F34" s="21" t="n">
        <v>12</v>
      </c>
      <c r="G34" s="23" t="n">
        <v>3760.68</v>
      </c>
      <c r="H34" s="24" t="n">
        <f aca="false">F34*G34</f>
        <v>45128.16</v>
      </c>
    </row>
    <row r="35" customFormat="false" ht="15" hidden="false" customHeight="true" outlineLevel="0" collapsed="false">
      <c r="A35" s="25" t="n">
        <v>34</v>
      </c>
      <c r="B35" s="26" t="n">
        <v>45344</v>
      </c>
      <c r="C35" s="25" t="s">
        <v>30</v>
      </c>
      <c r="D35" s="25" t="s">
        <v>26</v>
      </c>
      <c r="E35" s="25" t="s">
        <v>22</v>
      </c>
      <c r="F35" s="25" t="n">
        <v>20</v>
      </c>
      <c r="G35" s="27" t="n">
        <v>36354.36</v>
      </c>
      <c r="H35" s="28" t="n">
        <f aca="false">F35*G35</f>
        <v>727087.2</v>
      </c>
    </row>
    <row r="36" customFormat="false" ht="15" hidden="false" customHeight="true" outlineLevel="0" collapsed="false">
      <c r="A36" s="21" t="n">
        <v>35</v>
      </c>
      <c r="B36" s="22" t="n">
        <v>45344</v>
      </c>
      <c r="C36" s="21" t="s">
        <v>27</v>
      </c>
      <c r="D36" s="21" t="s">
        <v>18</v>
      </c>
      <c r="E36" s="21" t="s">
        <v>24</v>
      </c>
      <c r="F36" s="21" t="n">
        <v>16</v>
      </c>
      <c r="G36" s="23" t="n">
        <v>113864.52</v>
      </c>
      <c r="H36" s="24" t="n">
        <f aca="false">F36*G36</f>
        <v>1821832.32</v>
      </c>
    </row>
    <row r="37" customFormat="false" ht="15" hidden="false" customHeight="true" outlineLevel="0" collapsed="false">
      <c r="A37" s="25" t="n">
        <v>36</v>
      </c>
      <c r="B37" s="26" t="n">
        <v>45349</v>
      </c>
      <c r="C37" s="25" t="s">
        <v>30</v>
      </c>
      <c r="D37" s="25" t="s">
        <v>26</v>
      </c>
      <c r="E37" s="25" t="s">
        <v>22</v>
      </c>
      <c r="F37" s="25" t="n">
        <v>15</v>
      </c>
      <c r="G37" s="27" t="n">
        <v>32959.92</v>
      </c>
      <c r="H37" s="28" t="n">
        <f aca="false">F37*G37</f>
        <v>494398.8</v>
      </c>
    </row>
    <row r="38" customFormat="false" ht="15" hidden="false" customHeight="true" outlineLevel="0" collapsed="false">
      <c r="A38" s="21" t="n">
        <v>37</v>
      </c>
      <c r="B38" s="22" t="n">
        <v>45349</v>
      </c>
      <c r="C38" s="21" t="s">
        <v>29</v>
      </c>
      <c r="D38" s="21" t="s">
        <v>18</v>
      </c>
      <c r="E38" s="21" t="s">
        <v>19</v>
      </c>
      <c r="F38" s="21" t="n">
        <v>10</v>
      </c>
      <c r="G38" s="23" t="n">
        <v>42230.16</v>
      </c>
      <c r="H38" s="24" t="n">
        <f aca="false">F38*G38</f>
        <v>422301.6</v>
      </c>
    </row>
    <row r="39" customFormat="false" ht="15" hidden="false" customHeight="true" outlineLevel="0" collapsed="false">
      <c r="A39" s="25" t="n">
        <v>38</v>
      </c>
      <c r="B39" s="26" t="n">
        <v>45349</v>
      </c>
      <c r="C39" s="25" t="s">
        <v>33</v>
      </c>
      <c r="D39" s="25" t="s">
        <v>18</v>
      </c>
      <c r="E39" s="25" t="s">
        <v>19</v>
      </c>
      <c r="F39" s="25" t="n">
        <v>23</v>
      </c>
      <c r="G39" s="27" t="n">
        <v>4294.92</v>
      </c>
      <c r="H39" s="28" t="n">
        <f aca="false">F39*G39</f>
        <v>98783.16</v>
      </c>
    </row>
    <row r="40" customFormat="false" ht="15" hidden="false" customHeight="true" outlineLevel="0" collapsed="false">
      <c r="A40" s="21" t="n">
        <v>39</v>
      </c>
      <c r="B40" s="22" t="n">
        <v>45352</v>
      </c>
      <c r="C40" s="21" t="s">
        <v>17</v>
      </c>
      <c r="D40" s="21" t="s">
        <v>18</v>
      </c>
      <c r="E40" s="21" t="s">
        <v>28</v>
      </c>
      <c r="F40" s="21" t="n">
        <v>20</v>
      </c>
      <c r="G40" s="23" t="n">
        <v>27404.16</v>
      </c>
      <c r="H40" s="24" t="n">
        <f aca="false">F40*G40</f>
        <v>548083.2</v>
      </c>
    </row>
    <row r="41" customFormat="false" ht="15" hidden="false" customHeight="true" outlineLevel="0" collapsed="false">
      <c r="A41" s="25" t="n">
        <v>40</v>
      </c>
      <c r="B41" s="26" t="n">
        <v>45353</v>
      </c>
      <c r="C41" s="25" t="s">
        <v>32</v>
      </c>
      <c r="D41" s="25" t="s">
        <v>18</v>
      </c>
      <c r="E41" s="25" t="s">
        <v>22</v>
      </c>
      <c r="F41" s="25" t="n">
        <v>20</v>
      </c>
      <c r="G41" s="27" t="n">
        <v>16073.4</v>
      </c>
      <c r="H41" s="28" t="n">
        <f aca="false">F41*G41</f>
        <v>321468</v>
      </c>
    </row>
    <row r="42" customFormat="false" ht="15" hidden="false" customHeight="true" outlineLevel="0" collapsed="false">
      <c r="A42" s="21" t="n">
        <v>41</v>
      </c>
      <c r="B42" s="22" t="n">
        <v>45353</v>
      </c>
      <c r="C42" s="21" t="s">
        <v>25</v>
      </c>
      <c r="D42" s="21" t="s">
        <v>26</v>
      </c>
      <c r="E42" s="21" t="s">
        <v>28</v>
      </c>
      <c r="F42" s="21" t="n">
        <v>24</v>
      </c>
      <c r="G42" s="23" t="n">
        <v>45142.44</v>
      </c>
      <c r="H42" s="24" t="n">
        <f aca="false">F42*G42</f>
        <v>1083418.56</v>
      </c>
    </row>
    <row r="43" customFormat="false" ht="15" hidden="false" customHeight="true" outlineLevel="0" collapsed="false">
      <c r="A43" s="25" t="n">
        <v>42</v>
      </c>
      <c r="B43" s="26" t="n">
        <v>45356</v>
      </c>
      <c r="C43" s="25" t="s">
        <v>30</v>
      </c>
      <c r="D43" s="25" t="s">
        <v>26</v>
      </c>
      <c r="E43" s="25" t="s">
        <v>28</v>
      </c>
      <c r="F43" s="25" t="n">
        <v>2</v>
      </c>
      <c r="G43" s="27" t="n">
        <v>29780.52</v>
      </c>
      <c r="H43" s="28" t="n">
        <f aca="false">F43*G43</f>
        <v>59561.04</v>
      </c>
    </row>
    <row r="44" customFormat="false" ht="15" hidden="false" customHeight="true" outlineLevel="0" collapsed="false">
      <c r="A44" s="21" t="n">
        <v>43</v>
      </c>
      <c r="B44" s="22" t="n">
        <v>45357</v>
      </c>
      <c r="C44" s="21" t="s">
        <v>31</v>
      </c>
      <c r="D44" s="21" t="s">
        <v>26</v>
      </c>
      <c r="E44" s="21" t="s">
        <v>21</v>
      </c>
      <c r="F44" s="21" t="n">
        <v>6</v>
      </c>
      <c r="G44" s="23" t="n">
        <v>6206.76</v>
      </c>
      <c r="H44" s="24" t="n">
        <f aca="false">F44*G44</f>
        <v>37240.56</v>
      </c>
    </row>
    <row r="45" customFormat="false" ht="15" hidden="false" customHeight="true" outlineLevel="0" collapsed="false">
      <c r="A45" s="25" t="n">
        <v>44</v>
      </c>
      <c r="B45" s="26" t="n">
        <v>45360</v>
      </c>
      <c r="C45" s="25" t="s">
        <v>30</v>
      </c>
      <c r="D45" s="25" t="s">
        <v>26</v>
      </c>
      <c r="E45" s="25" t="s">
        <v>28</v>
      </c>
      <c r="F45" s="25" t="n">
        <v>4</v>
      </c>
      <c r="G45" s="27" t="n">
        <v>30351.72</v>
      </c>
      <c r="H45" s="28" t="n">
        <f aca="false">F45*G45</f>
        <v>121406.88</v>
      </c>
    </row>
    <row r="46" customFormat="false" ht="15" hidden="false" customHeight="true" outlineLevel="0" collapsed="false">
      <c r="A46" s="21" t="n">
        <v>45</v>
      </c>
      <c r="B46" s="22" t="n">
        <v>45360</v>
      </c>
      <c r="C46" s="21" t="s">
        <v>31</v>
      </c>
      <c r="D46" s="21" t="s">
        <v>26</v>
      </c>
      <c r="E46" s="21" t="s">
        <v>28</v>
      </c>
      <c r="F46" s="21" t="n">
        <v>18</v>
      </c>
      <c r="G46" s="23" t="n">
        <v>5825.4</v>
      </c>
      <c r="H46" s="24" t="n">
        <f aca="false">F46*G46</f>
        <v>104857.2</v>
      </c>
    </row>
    <row r="47" customFormat="false" ht="15" hidden="false" customHeight="true" outlineLevel="0" collapsed="false">
      <c r="A47" s="25" t="n">
        <v>46</v>
      </c>
      <c r="B47" s="26" t="n">
        <v>45365</v>
      </c>
      <c r="C47" s="25" t="s">
        <v>30</v>
      </c>
      <c r="D47" s="25" t="s">
        <v>26</v>
      </c>
      <c r="E47" s="25" t="s">
        <v>28</v>
      </c>
      <c r="F47" s="25" t="n">
        <v>24</v>
      </c>
      <c r="G47" s="27" t="n">
        <v>30549.12</v>
      </c>
      <c r="H47" s="28" t="n">
        <f aca="false">F47*G47</f>
        <v>733178.88</v>
      </c>
    </row>
    <row r="48" customFormat="false" ht="15" hidden="false" customHeight="true" outlineLevel="0" collapsed="false">
      <c r="A48" s="21" t="n">
        <v>47</v>
      </c>
      <c r="B48" s="22" t="n">
        <v>45367</v>
      </c>
      <c r="C48" s="21" t="s">
        <v>20</v>
      </c>
      <c r="D48" s="21" t="s">
        <v>18</v>
      </c>
      <c r="E48" s="21" t="s">
        <v>21</v>
      </c>
      <c r="F48" s="21" t="n">
        <v>10</v>
      </c>
      <c r="G48" s="23" t="n">
        <v>10097.64</v>
      </c>
      <c r="H48" s="24" t="n">
        <f aca="false">F48*G48</f>
        <v>100976.4</v>
      </c>
    </row>
    <row r="49" customFormat="false" ht="15" hidden="false" customHeight="true" outlineLevel="0" collapsed="false">
      <c r="A49" s="25" t="n">
        <v>48</v>
      </c>
      <c r="B49" s="26" t="n">
        <v>45368</v>
      </c>
      <c r="C49" s="25" t="s">
        <v>32</v>
      </c>
      <c r="D49" s="25" t="s">
        <v>18</v>
      </c>
      <c r="E49" s="25" t="s">
        <v>19</v>
      </c>
      <c r="F49" s="25" t="n">
        <v>3</v>
      </c>
      <c r="G49" s="27" t="n">
        <v>19010.88</v>
      </c>
      <c r="H49" s="28" t="n">
        <f aca="false">F49*G49</f>
        <v>57032.64</v>
      </c>
    </row>
    <row r="50" customFormat="false" ht="15" hidden="false" customHeight="true" outlineLevel="0" collapsed="false">
      <c r="A50" s="21" t="n">
        <v>49</v>
      </c>
      <c r="B50" s="22" t="n">
        <v>45370</v>
      </c>
      <c r="C50" s="21" t="s">
        <v>25</v>
      </c>
      <c r="D50" s="21" t="s">
        <v>26</v>
      </c>
      <c r="E50" s="21" t="s">
        <v>22</v>
      </c>
      <c r="F50" s="21" t="n">
        <v>22</v>
      </c>
      <c r="G50" s="23" t="n">
        <v>42959.28</v>
      </c>
      <c r="H50" s="24" t="n">
        <f aca="false">F50*G50</f>
        <v>945104.16</v>
      </c>
    </row>
    <row r="51" customFormat="false" ht="15" hidden="false" customHeight="true" outlineLevel="0" collapsed="false">
      <c r="A51" s="25" t="n">
        <v>50</v>
      </c>
      <c r="B51" s="26" t="n">
        <v>45371</v>
      </c>
      <c r="C51" s="25" t="s">
        <v>30</v>
      </c>
      <c r="D51" s="25" t="s">
        <v>26</v>
      </c>
      <c r="E51" s="25" t="s">
        <v>21</v>
      </c>
      <c r="F51" s="25" t="n">
        <v>7</v>
      </c>
      <c r="G51" s="27" t="n">
        <v>31710</v>
      </c>
      <c r="H51" s="28" t="n">
        <f aca="false">F51*G51</f>
        <v>221970</v>
      </c>
    </row>
    <row r="52" customFormat="false" ht="15" hidden="false" customHeight="true" outlineLevel="0" collapsed="false">
      <c r="A52" s="21" t="n">
        <v>51</v>
      </c>
      <c r="B52" s="22" t="n">
        <v>45371</v>
      </c>
      <c r="C52" s="21" t="s">
        <v>25</v>
      </c>
      <c r="D52" s="21" t="s">
        <v>26</v>
      </c>
      <c r="E52" s="21" t="s">
        <v>24</v>
      </c>
      <c r="F52" s="21" t="n">
        <v>6</v>
      </c>
      <c r="G52" s="23" t="n">
        <v>51472.68</v>
      </c>
      <c r="H52" s="24" t="n">
        <f aca="false">F52*G52</f>
        <v>308836.08</v>
      </c>
    </row>
    <row r="53" customFormat="false" ht="15" hidden="false" customHeight="true" outlineLevel="0" collapsed="false">
      <c r="A53" s="25" t="n">
        <v>52</v>
      </c>
      <c r="B53" s="26" t="n">
        <v>45375</v>
      </c>
      <c r="C53" s="25" t="s">
        <v>30</v>
      </c>
      <c r="D53" s="25" t="s">
        <v>26</v>
      </c>
      <c r="E53" s="25" t="s">
        <v>21</v>
      </c>
      <c r="F53" s="25" t="n">
        <v>1</v>
      </c>
      <c r="G53" s="27" t="n">
        <v>30291.24</v>
      </c>
      <c r="H53" s="28" t="n">
        <f aca="false">F53*G53</f>
        <v>30291.24</v>
      </c>
    </row>
    <row r="54" customFormat="false" ht="15" hidden="false" customHeight="true" outlineLevel="0" collapsed="false">
      <c r="A54" s="21" t="n">
        <v>53</v>
      </c>
      <c r="B54" s="22" t="n">
        <v>45376</v>
      </c>
      <c r="C54" s="21" t="s">
        <v>31</v>
      </c>
      <c r="D54" s="21" t="s">
        <v>26</v>
      </c>
      <c r="E54" s="21" t="s">
        <v>28</v>
      </c>
      <c r="F54" s="21" t="n">
        <v>20</v>
      </c>
      <c r="G54" s="23" t="n">
        <v>6168.96</v>
      </c>
      <c r="H54" s="24" t="n">
        <f aca="false">F54*G54</f>
        <v>123379.2</v>
      </c>
    </row>
    <row r="55" customFormat="false" ht="15" hidden="false" customHeight="true" outlineLevel="0" collapsed="false">
      <c r="A55" s="25" t="n">
        <v>54</v>
      </c>
      <c r="B55" s="26" t="n">
        <v>45377</v>
      </c>
      <c r="C55" s="25" t="s">
        <v>32</v>
      </c>
      <c r="D55" s="25" t="s">
        <v>18</v>
      </c>
      <c r="E55" s="25" t="s">
        <v>22</v>
      </c>
      <c r="F55" s="25" t="n">
        <v>24</v>
      </c>
      <c r="G55" s="27" t="n">
        <v>17582.04</v>
      </c>
      <c r="H55" s="28" t="n">
        <f aca="false">F55*G55</f>
        <v>421968.96</v>
      </c>
    </row>
    <row r="56" customFormat="false" ht="15" hidden="false" customHeight="true" outlineLevel="0" collapsed="false">
      <c r="A56" s="21" t="n">
        <v>55</v>
      </c>
      <c r="B56" s="22" t="n">
        <v>45385</v>
      </c>
      <c r="C56" s="21" t="s">
        <v>30</v>
      </c>
      <c r="D56" s="21" t="s">
        <v>26</v>
      </c>
      <c r="E56" s="21" t="s">
        <v>24</v>
      </c>
      <c r="F56" s="21" t="n">
        <v>3</v>
      </c>
      <c r="G56" s="23" t="n">
        <v>33187.56</v>
      </c>
      <c r="H56" s="24" t="n">
        <f aca="false">F56*G56</f>
        <v>99562.68</v>
      </c>
    </row>
    <row r="57" customFormat="false" ht="15" hidden="false" customHeight="true" outlineLevel="0" collapsed="false">
      <c r="A57" s="25" t="n">
        <v>56</v>
      </c>
      <c r="B57" s="26" t="n">
        <v>45385</v>
      </c>
      <c r="C57" s="25" t="s">
        <v>31</v>
      </c>
      <c r="D57" s="25" t="s">
        <v>26</v>
      </c>
      <c r="E57" s="25" t="s">
        <v>21</v>
      </c>
      <c r="F57" s="25" t="n">
        <v>9</v>
      </c>
      <c r="G57" s="27" t="n">
        <v>5203.8</v>
      </c>
      <c r="H57" s="28" t="n">
        <f aca="false">F57*G57</f>
        <v>46834.2</v>
      </c>
    </row>
    <row r="58" customFormat="false" ht="15" hidden="false" customHeight="true" outlineLevel="0" collapsed="false">
      <c r="A58" s="21" t="n">
        <v>57</v>
      </c>
      <c r="B58" s="22" t="n">
        <v>45389</v>
      </c>
      <c r="C58" s="21" t="s">
        <v>30</v>
      </c>
      <c r="D58" s="21" t="s">
        <v>26</v>
      </c>
      <c r="E58" s="21" t="s">
        <v>28</v>
      </c>
      <c r="F58" s="21" t="n">
        <v>2</v>
      </c>
      <c r="G58" s="23" t="n">
        <v>31186.68</v>
      </c>
      <c r="H58" s="24" t="n">
        <f aca="false">F58*G58</f>
        <v>62373.36</v>
      </c>
    </row>
    <row r="59" customFormat="false" ht="15" hidden="false" customHeight="true" outlineLevel="0" collapsed="false">
      <c r="A59" s="25" t="n">
        <v>58</v>
      </c>
      <c r="B59" s="26" t="n">
        <v>45390</v>
      </c>
      <c r="C59" s="25" t="s">
        <v>25</v>
      </c>
      <c r="D59" s="25" t="s">
        <v>26</v>
      </c>
      <c r="E59" s="25" t="s">
        <v>24</v>
      </c>
      <c r="F59" s="25" t="n">
        <v>5</v>
      </c>
      <c r="G59" s="27" t="n">
        <v>47687.64</v>
      </c>
      <c r="H59" s="28" t="n">
        <f aca="false">F59*G59</f>
        <v>238438.2</v>
      </c>
    </row>
    <row r="60" customFormat="false" ht="15" hidden="false" customHeight="true" outlineLevel="0" collapsed="false">
      <c r="A60" s="21" t="n">
        <v>59</v>
      </c>
      <c r="B60" s="22" t="n">
        <v>45391</v>
      </c>
      <c r="C60" s="21" t="s">
        <v>20</v>
      </c>
      <c r="D60" s="21" t="s">
        <v>18</v>
      </c>
      <c r="E60" s="21" t="s">
        <v>19</v>
      </c>
      <c r="F60" s="21" t="n">
        <v>8</v>
      </c>
      <c r="G60" s="23" t="n">
        <v>11091.36</v>
      </c>
      <c r="H60" s="24" t="n">
        <f aca="false">F60*G60</f>
        <v>88730.88</v>
      </c>
    </row>
    <row r="61" customFormat="false" ht="15" hidden="false" customHeight="true" outlineLevel="0" collapsed="false">
      <c r="A61" s="25" t="n">
        <v>60</v>
      </c>
      <c r="B61" s="26" t="n">
        <v>45393</v>
      </c>
      <c r="C61" s="25" t="s">
        <v>17</v>
      </c>
      <c r="D61" s="25" t="s">
        <v>18</v>
      </c>
      <c r="E61" s="25" t="s">
        <v>28</v>
      </c>
      <c r="F61" s="25" t="n">
        <v>15</v>
      </c>
      <c r="G61" s="27" t="n">
        <v>25238.64</v>
      </c>
      <c r="H61" s="28" t="n">
        <f aca="false">F61*G61</f>
        <v>378579.6</v>
      </c>
    </row>
    <row r="62" customFormat="false" ht="15" hidden="false" customHeight="true" outlineLevel="0" collapsed="false">
      <c r="A62" s="21" t="n">
        <v>61</v>
      </c>
      <c r="B62" s="22" t="n">
        <v>45393</v>
      </c>
      <c r="C62" s="21" t="s">
        <v>23</v>
      </c>
      <c r="D62" s="21" t="s">
        <v>18</v>
      </c>
      <c r="E62" s="21" t="s">
        <v>28</v>
      </c>
      <c r="F62" s="21" t="n">
        <v>6</v>
      </c>
      <c r="G62" s="23" t="n">
        <v>6592.32</v>
      </c>
      <c r="H62" s="24" t="n">
        <f aca="false">F62*G62</f>
        <v>39553.92</v>
      </c>
    </row>
    <row r="63" customFormat="false" ht="15" hidden="false" customHeight="true" outlineLevel="0" collapsed="false">
      <c r="A63" s="25" t="n">
        <v>62</v>
      </c>
      <c r="B63" s="26" t="n">
        <v>45396</v>
      </c>
      <c r="C63" s="25" t="s">
        <v>30</v>
      </c>
      <c r="D63" s="25" t="s">
        <v>26</v>
      </c>
      <c r="E63" s="25" t="s">
        <v>22</v>
      </c>
      <c r="F63" s="25" t="n">
        <v>9</v>
      </c>
      <c r="G63" s="27" t="n">
        <v>33537</v>
      </c>
      <c r="H63" s="28" t="n">
        <f aca="false">F63*G63</f>
        <v>301833</v>
      </c>
    </row>
    <row r="64" customFormat="false" ht="15" hidden="false" customHeight="true" outlineLevel="0" collapsed="false">
      <c r="A64" s="21" t="n">
        <v>63</v>
      </c>
      <c r="B64" s="22" t="n">
        <v>45397</v>
      </c>
      <c r="C64" s="21" t="s">
        <v>20</v>
      </c>
      <c r="D64" s="21" t="s">
        <v>18</v>
      </c>
      <c r="E64" s="21" t="s">
        <v>28</v>
      </c>
      <c r="F64" s="21" t="n">
        <v>25</v>
      </c>
      <c r="G64" s="23" t="n">
        <v>10807.44</v>
      </c>
      <c r="H64" s="24" t="n">
        <f aca="false">F64*G64</f>
        <v>270186</v>
      </c>
    </row>
    <row r="65" customFormat="false" ht="15" hidden="false" customHeight="true" outlineLevel="0" collapsed="false">
      <c r="A65" s="25" t="n">
        <v>64</v>
      </c>
      <c r="B65" s="26" t="n">
        <v>45398</v>
      </c>
      <c r="C65" s="25" t="s">
        <v>25</v>
      </c>
      <c r="D65" s="25" t="s">
        <v>26</v>
      </c>
      <c r="E65" s="25" t="s">
        <v>19</v>
      </c>
      <c r="F65" s="25" t="n">
        <v>3</v>
      </c>
      <c r="G65" s="27" t="n">
        <v>44555.28</v>
      </c>
      <c r="H65" s="28" t="n">
        <f aca="false">F65*G65</f>
        <v>133665.84</v>
      </c>
    </row>
    <row r="66" customFormat="false" ht="15" hidden="false" customHeight="true" outlineLevel="0" collapsed="false">
      <c r="A66" s="21" t="n">
        <v>65</v>
      </c>
      <c r="B66" s="22" t="n">
        <v>45400</v>
      </c>
      <c r="C66" s="21" t="s">
        <v>31</v>
      </c>
      <c r="D66" s="21" t="s">
        <v>26</v>
      </c>
      <c r="E66" s="21" t="s">
        <v>24</v>
      </c>
      <c r="F66" s="21" t="n">
        <v>21</v>
      </c>
      <c r="G66" s="23" t="n">
        <v>5454.12</v>
      </c>
      <c r="H66" s="24" t="n">
        <f aca="false">F66*G66</f>
        <v>114536.52</v>
      </c>
    </row>
    <row r="67" customFormat="false" ht="15" hidden="false" customHeight="true" outlineLevel="0" collapsed="false">
      <c r="A67" s="25" t="n">
        <v>66</v>
      </c>
      <c r="B67" s="26" t="n">
        <v>45401</v>
      </c>
      <c r="C67" s="25" t="s">
        <v>20</v>
      </c>
      <c r="D67" s="25" t="s">
        <v>18</v>
      </c>
      <c r="E67" s="25" t="s">
        <v>24</v>
      </c>
      <c r="F67" s="25" t="n">
        <v>6</v>
      </c>
      <c r="G67" s="27" t="n">
        <v>12196.8</v>
      </c>
      <c r="H67" s="28" t="n">
        <f aca="false">F67*G67</f>
        <v>73180.8</v>
      </c>
    </row>
    <row r="68" customFormat="false" ht="15" hidden="false" customHeight="true" outlineLevel="0" collapsed="false">
      <c r="A68" s="21" t="n">
        <v>67</v>
      </c>
      <c r="B68" s="22" t="n">
        <v>45403</v>
      </c>
      <c r="C68" s="21" t="s">
        <v>25</v>
      </c>
      <c r="D68" s="21" t="s">
        <v>26</v>
      </c>
      <c r="E68" s="21" t="s">
        <v>28</v>
      </c>
      <c r="F68" s="21" t="n">
        <v>1</v>
      </c>
      <c r="G68" s="23" t="n">
        <v>47330.64</v>
      </c>
      <c r="H68" s="24" t="n">
        <f aca="false">F68*G68</f>
        <v>47330.64</v>
      </c>
    </row>
    <row r="69" customFormat="false" ht="15" hidden="false" customHeight="true" outlineLevel="0" collapsed="false">
      <c r="A69" s="25" t="n">
        <v>68</v>
      </c>
      <c r="B69" s="26" t="n">
        <v>45404</v>
      </c>
      <c r="C69" s="25" t="s">
        <v>29</v>
      </c>
      <c r="D69" s="25" t="s">
        <v>18</v>
      </c>
      <c r="E69" s="25" t="s">
        <v>22</v>
      </c>
      <c r="F69" s="25" t="n">
        <v>25</v>
      </c>
      <c r="G69" s="27" t="n">
        <v>41891.64</v>
      </c>
      <c r="H69" s="28" t="n">
        <f aca="false">F69*G69</f>
        <v>1047291</v>
      </c>
    </row>
    <row r="70" customFormat="false" ht="15" hidden="false" customHeight="true" outlineLevel="0" collapsed="false">
      <c r="A70" s="21" t="n">
        <v>69</v>
      </c>
      <c r="B70" s="22" t="n">
        <v>45406</v>
      </c>
      <c r="C70" s="21" t="s">
        <v>23</v>
      </c>
      <c r="D70" s="21" t="s">
        <v>18</v>
      </c>
      <c r="E70" s="21" t="s">
        <v>28</v>
      </c>
      <c r="F70" s="21" t="n">
        <v>22</v>
      </c>
      <c r="G70" s="23" t="n">
        <v>7194.6</v>
      </c>
      <c r="H70" s="24" t="n">
        <f aca="false">F70*G70</f>
        <v>158281.2</v>
      </c>
    </row>
    <row r="71" customFormat="false" ht="15" hidden="false" customHeight="true" outlineLevel="0" collapsed="false">
      <c r="A71" s="25" t="n">
        <v>70</v>
      </c>
      <c r="B71" s="26" t="n">
        <v>45409</v>
      </c>
      <c r="C71" s="25" t="s">
        <v>27</v>
      </c>
      <c r="D71" s="25" t="s">
        <v>18</v>
      </c>
      <c r="E71" s="25" t="s">
        <v>21</v>
      </c>
      <c r="F71" s="25" t="n">
        <v>13</v>
      </c>
      <c r="G71" s="27" t="n">
        <v>120165.36</v>
      </c>
      <c r="H71" s="28" t="n">
        <f aca="false">F71*G71</f>
        <v>1562149.68</v>
      </c>
    </row>
    <row r="72" customFormat="false" ht="15" hidden="false" customHeight="true" outlineLevel="0" collapsed="false">
      <c r="A72" s="21" t="n">
        <v>71</v>
      </c>
      <c r="B72" s="22" t="n">
        <v>45409</v>
      </c>
      <c r="C72" s="21" t="s">
        <v>33</v>
      </c>
      <c r="D72" s="21" t="s">
        <v>18</v>
      </c>
      <c r="E72" s="21" t="s">
        <v>22</v>
      </c>
      <c r="F72" s="21" t="n">
        <v>11</v>
      </c>
      <c r="G72" s="23" t="n">
        <v>4257.96</v>
      </c>
      <c r="H72" s="24" t="n">
        <f aca="false">F72*G72</f>
        <v>46837.56</v>
      </c>
    </row>
    <row r="73" customFormat="false" ht="15" hidden="false" customHeight="true" outlineLevel="0" collapsed="false">
      <c r="A73" s="25" t="n">
        <v>72</v>
      </c>
      <c r="B73" s="26" t="n">
        <v>45414</v>
      </c>
      <c r="C73" s="25" t="s">
        <v>30</v>
      </c>
      <c r="D73" s="25" t="s">
        <v>26</v>
      </c>
      <c r="E73" s="25" t="s">
        <v>21</v>
      </c>
      <c r="F73" s="25" t="n">
        <v>22</v>
      </c>
      <c r="G73" s="27" t="n">
        <v>32641.56</v>
      </c>
      <c r="H73" s="28" t="n">
        <f aca="false">F73*G73</f>
        <v>718114.32</v>
      </c>
    </row>
    <row r="74" customFormat="false" ht="15" hidden="false" customHeight="true" outlineLevel="0" collapsed="false">
      <c r="A74" s="21" t="n">
        <v>73</v>
      </c>
      <c r="B74" s="22" t="n">
        <v>45414</v>
      </c>
      <c r="C74" s="21" t="s">
        <v>23</v>
      </c>
      <c r="D74" s="21" t="s">
        <v>18</v>
      </c>
      <c r="E74" s="21" t="s">
        <v>22</v>
      </c>
      <c r="F74" s="21" t="n">
        <v>6</v>
      </c>
      <c r="G74" s="23" t="n">
        <v>6888</v>
      </c>
      <c r="H74" s="24" t="n">
        <f aca="false">F74*G74</f>
        <v>41328</v>
      </c>
    </row>
    <row r="75" customFormat="false" ht="15" hidden="false" customHeight="true" outlineLevel="0" collapsed="false">
      <c r="A75" s="25" t="n">
        <v>74</v>
      </c>
      <c r="B75" s="26" t="n">
        <v>45420</v>
      </c>
      <c r="C75" s="25" t="s">
        <v>17</v>
      </c>
      <c r="D75" s="25" t="s">
        <v>18</v>
      </c>
      <c r="E75" s="25" t="s">
        <v>22</v>
      </c>
      <c r="F75" s="25" t="n">
        <v>1</v>
      </c>
      <c r="G75" s="27" t="n">
        <v>28008.96</v>
      </c>
      <c r="H75" s="28" t="n">
        <f aca="false">F75*G75</f>
        <v>28008.96</v>
      </c>
    </row>
    <row r="76" customFormat="false" ht="15" hidden="false" customHeight="true" outlineLevel="0" collapsed="false">
      <c r="A76" s="21" t="n">
        <v>75</v>
      </c>
      <c r="B76" s="22" t="n">
        <v>45426</v>
      </c>
      <c r="C76" s="21" t="s">
        <v>17</v>
      </c>
      <c r="D76" s="21" t="s">
        <v>18</v>
      </c>
      <c r="E76" s="21" t="s">
        <v>22</v>
      </c>
      <c r="F76" s="21" t="n">
        <v>17</v>
      </c>
      <c r="G76" s="23" t="n">
        <v>27389.04</v>
      </c>
      <c r="H76" s="24" t="n">
        <f aca="false">F76*G76</f>
        <v>465613.68</v>
      </c>
    </row>
    <row r="77" customFormat="false" ht="15" hidden="false" customHeight="true" outlineLevel="0" collapsed="false">
      <c r="A77" s="25" t="n">
        <v>76</v>
      </c>
      <c r="B77" s="26" t="n">
        <v>45433</v>
      </c>
      <c r="C77" s="25" t="s">
        <v>32</v>
      </c>
      <c r="D77" s="25" t="s">
        <v>18</v>
      </c>
      <c r="E77" s="25" t="s">
        <v>28</v>
      </c>
      <c r="F77" s="25" t="n">
        <v>17</v>
      </c>
      <c r="G77" s="27" t="n">
        <v>19125.96</v>
      </c>
      <c r="H77" s="28" t="n">
        <f aca="false">F77*G77</f>
        <v>325141.32</v>
      </c>
    </row>
    <row r="78" customFormat="false" ht="15" hidden="false" customHeight="true" outlineLevel="0" collapsed="false">
      <c r="A78" s="21" t="n">
        <v>77</v>
      </c>
      <c r="B78" s="22" t="n">
        <v>45434</v>
      </c>
      <c r="C78" s="21" t="s">
        <v>27</v>
      </c>
      <c r="D78" s="21" t="s">
        <v>18</v>
      </c>
      <c r="E78" s="21" t="s">
        <v>24</v>
      </c>
      <c r="F78" s="21" t="n">
        <v>6</v>
      </c>
      <c r="G78" s="23" t="n">
        <v>118903.68</v>
      </c>
      <c r="H78" s="24" t="n">
        <f aca="false">F78*G78</f>
        <v>713422.08</v>
      </c>
    </row>
    <row r="79" customFormat="false" ht="15" hidden="false" customHeight="true" outlineLevel="0" collapsed="false">
      <c r="A79" s="25" t="n">
        <v>78</v>
      </c>
      <c r="B79" s="26" t="n">
        <v>45434</v>
      </c>
      <c r="C79" s="25" t="s">
        <v>31</v>
      </c>
      <c r="D79" s="25" t="s">
        <v>26</v>
      </c>
      <c r="E79" s="25" t="s">
        <v>19</v>
      </c>
      <c r="F79" s="25" t="n">
        <v>12</v>
      </c>
      <c r="G79" s="27" t="n">
        <v>5781.72</v>
      </c>
      <c r="H79" s="28" t="n">
        <f aca="false">F79*G79</f>
        <v>69380.64</v>
      </c>
    </row>
    <row r="80" customFormat="false" ht="15" hidden="false" customHeight="true" outlineLevel="0" collapsed="false">
      <c r="A80" s="21" t="n">
        <v>79</v>
      </c>
      <c r="B80" s="22" t="n">
        <v>45434</v>
      </c>
      <c r="C80" s="21" t="s">
        <v>29</v>
      </c>
      <c r="D80" s="21" t="s">
        <v>18</v>
      </c>
      <c r="E80" s="21" t="s">
        <v>28</v>
      </c>
      <c r="F80" s="21" t="n">
        <v>13</v>
      </c>
      <c r="G80" s="23" t="n">
        <v>39993.24</v>
      </c>
      <c r="H80" s="24" t="n">
        <f aca="false">F80*G80</f>
        <v>519912.12</v>
      </c>
    </row>
    <row r="81" customFormat="false" ht="15" hidden="false" customHeight="true" outlineLevel="0" collapsed="false">
      <c r="A81" s="25" t="n">
        <v>80</v>
      </c>
      <c r="B81" s="26" t="n">
        <v>45435</v>
      </c>
      <c r="C81" s="25" t="s">
        <v>32</v>
      </c>
      <c r="D81" s="25" t="s">
        <v>18</v>
      </c>
      <c r="E81" s="25" t="s">
        <v>28</v>
      </c>
      <c r="F81" s="25" t="n">
        <v>9</v>
      </c>
      <c r="G81" s="27" t="n">
        <v>17974.32</v>
      </c>
      <c r="H81" s="28" t="n">
        <f aca="false">F81*G81</f>
        <v>161768.88</v>
      </c>
    </row>
    <row r="82" customFormat="false" ht="15" hidden="false" customHeight="true" outlineLevel="0" collapsed="false">
      <c r="A82" s="21" t="n">
        <v>81</v>
      </c>
      <c r="B82" s="22" t="n">
        <v>45436</v>
      </c>
      <c r="C82" s="21" t="s">
        <v>33</v>
      </c>
      <c r="D82" s="21" t="s">
        <v>18</v>
      </c>
      <c r="E82" s="21" t="s">
        <v>19</v>
      </c>
      <c r="F82" s="21" t="n">
        <v>10</v>
      </c>
      <c r="G82" s="23" t="n">
        <v>4189.08</v>
      </c>
      <c r="H82" s="24" t="n">
        <f aca="false">F82*G82</f>
        <v>41890.8</v>
      </c>
    </row>
    <row r="83" customFormat="false" ht="15" hidden="false" customHeight="true" outlineLevel="0" collapsed="false">
      <c r="A83" s="25" t="n">
        <v>82</v>
      </c>
      <c r="B83" s="26" t="n">
        <v>45438</v>
      </c>
      <c r="C83" s="25" t="s">
        <v>25</v>
      </c>
      <c r="D83" s="25" t="s">
        <v>26</v>
      </c>
      <c r="E83" s="25" t="s">
        <v>28</v>
      </c>
      <c r="F83" s="25" t="n">
        <v>19</v>
      </c>
      <c r="G83" s="27" t="n">
        <v>46460.4</v>
      </c>
      <c r="H83" s="28" t="n">
        <f aca="false">F83*G83</f>
        <v>882747.6</v>
      </c>
    </row>
    <row r="84" customFormat="false" ht="15" hidden="false" customHeight="true" outlineLevel="0" collapsed="false">
      <c r="A84" s="21" t="n">
        <v>83</v>
      </c>
      <c r="B84" s="22" t="n">
        <v>45439</v>
      </c>
      <c r="C84" s="21" t="s">
        <v>31</v>
      </c>
      <c r="D84" s="21" t="s">
        <v>26</v>
      </c>
      <c r="E84" s="21" t="s">
        <v>21</v>
      </c>
      <c r="F84" s="21" t="n">
        <v>23</v>
      </c>
      <c r="G84" s="23" t="n">
        <v>5083.68</v>
      </c>
      <c r="H84" s="24" t="n">
        <f aca="false">F84*G84</f>
        <v>116924.64</v>
      </c>
    </row>
    <row r="85" customFormat="false" ht="15" hidden="false" customHeight="true" outlineLevel="0" collapsed="false">
      <c r="A85" s="25" t="n">
        <v>84</v>
      </c>
      <c r="B85" s="26" t="n">
        <v>45440</v>
      </c>
      <c r="C85" s="25" t="s">
        <v>33</v>
      </c>
      <c r="D85" s="25" t="s">
        <v>18</v>
      </c>
      <c r="E85" s="25" t="s">
        <v>24</v>
      </c>
      <c r="F85" s="25" t="n">
        <v>4</v>
      </c>
      <c r="G85" s="27" t="n">
        <v>4210.08</v>
      </c>
      <c r="H85" s="28" t="n">
        <f aca="false">F85*G85</f>
        <v>16840.32</v>
      </c>
    </row>
    <row r="86" customFormat="false" ht="15" hidden="false" customHeight="true" outlineLevel="0" collapsed="false">
      <c r="A86" s="21" t="n">
        <v>85</v>
      </c>
      <c r="B86" s="22" t="n">
        <v>45441</v>
      </c>
      <c r="C86" s="21" t="s">
        <v>23</v>
      </c>
      <c r="D86" s="21" t="s">
        <v>18</v>
      </c>
      <c r="E86" s="21" t="s">
        <v>24</v>
      </c>
      <c r="F86" s="21" t="n">
        <v>25</v>
      </c>
      <c r="G86" s="23" t="n">
        <v>7030.8</v>
      </c>
      <c r="H86" s="24" t="n">
        <f aca="false">F86*G86</f>
        <v>175770</v>
      </c>
    </row>
    <row r="87" customFormat="false" ht="15" hidden="false" customHeight="true" outlineLevel="0" collapsed="false">
      <c r="A87" s="25" t="n">
        <v>86</v>
      </c>
      <c r="B87" s="26" t="n">
        <v>45442</v>
      </c>
      <c r="C87" s="25" t="s">
        <v>25</v>
      </c>
      <c r="D87" s="25" t="s">
        <v>26</v>
      </c>
      <c r="E87" s="25" t="s">
        <v>21</v>
      </c>
      <c r="F87" s="25" t="n">
        <v>8</v>
      </c>
      <c r="G87" s="27" t="n">
        <v>46166.4</v>
      </c>
      <c r="H87" s="28" t="n">
        <f aca="false">F87*G87</f>
        <v>369331.2</v>
      </c>
    </row>
    <row r="88" customFormat="false" ht="15" hidden="false" customHeight="true" outlineLevel="0" collapsed="false">
      <c r="A88" s="21" t="n">
        <v>87</v>
      </c>
      <c r="B88" s="22" t="n">
        <v>45454</v>
      </c>
      <c r="C88" s="21" t="s">
        <v>31</v>
      </c>
      <c r="D88" s="21" t="s">
        <v>26</v>
      </c>
      <c r="E88" s="21" t="s">
        <v>28</v>
      </c>
      <c r="F88" s="21" t="n">
        <v>24</v>
      </c>
      <c r="G88" s="23" t="n">
        <v>5750.64</v>
      </c>
      <c r="H88" s="24" t="n">
        <f aca="false">F88*G88</f>
        <v>138015.36</v>
      </c>
    </row>
    <row r="89" customFormat="false" ht="15" hidden="false" customHeight="true" outlineLevel="0" collapsed="false">
      <c r="A89" s="25" t="n">
        <v>88</v>
      </c>
      <c r="B89" s="26" t="n">
        <v>45457</v>
      </c>
      <c r="C89" s="25" t="s">
        <v>25</v>
      </c>
      <c r="D89" s="25" t="s">
        <v>26</v>
      </c>
      <c r="E89" s="25" t="s">
        <v>21</v>
      </c>
      <c r="F89" s="25" t="n">
        <v>3</v>
      </c>
      <c r="G89" s="27" t="n">
        <v>51082.08</v>
      </c>
      <c r="H89" s="28" t="n">
        <f aca="false">F89*G89</f>
        <v>153246.24</v>
      </c>
    </row>
    <row r="90" customFormat="false" ht="15" hidden="false" customHeight="true" outlineLevel="0" collapsed="false">
      <c r="A90" s="21" t="n">
        <v>89</v>
      </c>
      <c r="B90" s="22" t="n">
        <v>45457</v>
      </c>
      <c r="C90" s="21" t="s">
        <v>32</v>
      </c>
      <c r="D90" s="21" t="s">
        <v>18</v>
      </c>
      <c r="E90" s="21" t="s">
        <v>19</v>
      </c>
      <c r="F90" s="21" t="n">
        <v>3</v>
      </c>
      <c r="G90" s="23" t="n">
        <v>16091.04</v>
      </c>
      <c r="H90" s="24" t="n">
        <f aca="false">F90*G90</f>
        <v>48273.12</v>
      </c>
    </row>
    <row r="91" customFormat="false" ht="15" hidden="false" customHeight="true" outlineLevel="0" collapsed="false">
      <c r="A91" s="25" t="n">
        <v>90</v>
      </c>
      <c r="B91" s="26" t="n">
        <v>45457</v>
      </c>
      <c r="C91" s="25" t="s">
        <v>33</v>
      </c>
      <c r="D91" s="25" t="s">
        <v>18</v>
      </c>
      <c r="E91" s="25" t="s">
        <v>28</v>
      </c>
      <c r="F91" s="25" t="n">
        <v>13</v>
      </c>
      <c r="G91" s="27" t="n">
        <v>4318.44</v>
      </c>
      <c r="H91" s="28" t="n">
        <f aca="false">F91*G91</f>
        <v>56139.72</v>
      </c>
    </row>
    <row r="92" customFormat="false" ht="15" hidden="false" customHeight="true" outlineLevel="0" collapsed="false">
      <c r="A92" s="21" t="n">
        <v>91</v>
      </c>
      <c r="B92" s="22" t="n">
        <v>45459</v>
      </c>
      <c r="C92" s="21" t="s">
        <v>29</v>
      </c>
      <c r="D92" s="21" t="s">
        <v>18</v>
      </c>
      <c r="E92" s="21" t="s">
        <v>21</v>
      </c>
      <c r="F92" s="21" t="n">
        <v>13</v>
      </c>
      <c r="G92" s="23" t="n">
        <v>41122.2</v>
      </c>
      <c r="H92" s="24" t="n">
        <f aca="false">F92*G92</f>
        <v>534588.6</v>
      </c>
    </row>
    <row r="93" customFormat="false" ht="15" hidden="false" customHeight="true" outlineLevel="0" collapsed="false">
      <c r="A93" s="25" t="n">
        <v>92</v>
      </c>
      <c r="B93" s="26" t="n">
        <v>45460</v>
      </c>
      <c r="C93" s="25" t="s">
        <v>20</v>
      </c>
      <c r="D93" s="25" t="s">
        <v>18</v>
      </c>
      <c r="E93" s="25" t="s">
        <v>24</v>
      </c>
      <c r="F93" s="25" t="n">
        <v>10</v>
      </c>
      <c r="G93" s="27" t="n">
        <v>11631.48</v>
      </c>
      <c r="H93" s="28" t="n">
        <f aca="false">F93*G93</f>
        <v>116314.8</v>
      </c>
    </row>
    <row r="94" customFormat="false" ht="15" hidden="false" customHeight="true" outlineLevel="0" collapsed="false">
      <c r="A94" s="21" t="n">
        <v>93</v>
      </c>
      <c r="B94" s="22" t="n">
        <v>45461</v>
      </c>
      <c r="C94" s="21" t="s">
        <v>27</v>
      </c>
      <c r="D94" s="21" t="s">
        <v>18</v>
      </c>
      <c r="E94" s="21" t="s">
        <v>19</v>
      </c>
      <c r="F94" s="21" t="n">
        <v>9</v>
      </c>
      <c r="G94" s="23" t="n">
        <v>101351.04</v>
      </c>
      <c r="H94" s="24" t="n">
        <f aca="false">F94*G94</f>
        <v>912159.36</v>
      </c>
    </row>
    <row r="95" customFormat="false" ht="15" hidden="false" customHeight="true" outlineLevel="0" collapsed="false">
      <c r="A95" s="25" t="n">
        <v>94</v>
      </c>
      <c r="B95" s="26" t="n">
        <v>45462</v>
      </c>
      <c r="C95" s="25" t="s">
        <v>23</v>
      </c>
      <c r="D95" s="25" t="s">
        <v>18</v>
      </c>
      <c r="E95" s="25" t="s">
        <v>19</v>
      </c>
      <c r="F95" s="25" t="n">
        <v>9</v>
      </c>
      <c r="G95" s="27" t="n">
        <v>7029.12</v>
      </c>
      <c r="H95" s="28" t="n">
        <f aca="false">F95*G95</f>
        <v>63262.08</v>
      </c>
    </row>
    <row r="96" customFormat="false" ht="15" hidden="false" customHeight="true" outlineLevel="0" collapsed="false">
      <c r="A96" s="21" t="n">
        <v>95</v>
      </c>
      <c r="B96" s="22" t="n">
        <v>45463</v>
      </c>
      <c r="C96" s="21" t="s">
        <v>33</v>
      </c>
      <c r="D96" s="21" t="s">
        <v>18</v>
      </c>
      <c r="E96" s="21" t="s">
        <v>19</v>
      </c>
      <c r="F96" s="21" t="n">
        <v>25</v>
      </c>
      <c r="G96" s="23" t="n">
        <v>4175.64</v>
      </c>
      <c r="H96" s="24" t="n">
        <f aca="false">F96*G96</f>
        <v>104391</v>
      </c>
    </row>
    <row r="97" customFormat="false" ht="15" hidden="false" customHeight="true" outlineLevel="0" collapsed="false">
      <c r="A97" s="25" t="n">
        <v>96</v>
      </c>
      <c r="B97" s="26" t="n">
        <v>45466</v>
      </c>
      <c r="C97" s="25" t="s">
        <v>30</v>
      </c>
      <c r="D97" s="25" t="s">
        <v>26</v>
      </c>
      <c r="E97" s="25" t="s">
        <v>21</v>
      </c>
      <c r="F97" s="25" t="n">
        <v>25</v>
      </c>
      <c r="G97" s="27" t="n">
        <v>30678.48</v>
      </c>
      <c r="H97" s="28" t="n">
        <f aca="false">F97*G97</f>
        <v>766962</v>
      </c>
    </row>
    <row r="98" customFormat="false" ht="15" hidden="false" customHeight="true" outlineLevel="0" collapsed="false">
      <c r="A98" s="21" t="n">
        <v>97</v>
      </c>
      <c r="B98" s="22" t="n">
        <v>45468</v>
      </c>
      <c r="C98" s="21" t="s">
        <v>29</v>
      </c>
      <c r="D98" s="21" t="s">
        <v>18</v>
      </c>
      <c r="E98" s="21" t="s">
        <v>22</v>
      </c>
      <c r="F98" s="21" t="n">
        <v>17</v>
      </c>
      <c r="G98" s="23" t="n">
        <v>38059.56</v>
      </c>
      <c r="H98" s="24" t="n">
        <f aca="false">F98*G98</f>
        <v>647012.52</v>
      </c>
    </row>
    <row r="99" customFormat="false" ht="15" hidden="false" customHeight="true" outlineLevel="0" collapsed="false">
      <c r="A99" s="25" t="n">
        <v>98</v>
      </c>
      <c r="B99" s="26" t="n">
        <v>45468</v>
      </c>
      <c r="C99" s="25" t="s">
        <v>20</v>
      </c>
      <c r="D99" s="25" t="s">
        <v>18</v>
      </c>
      <c r="E99" s="25" t="s">
        <v>21</v>
      </c>
      <c r="F99" s="25" t="n">
        <v>18</v>
      </c>
      <c r="G99" s="27" t="n">
        <v>12452.16</v>
      </c>
      <c r="H99" s="28" t="n">
        <f aca="false">F99*G99</f>
        <v>224138.88</v>
      </c>
    </row>
    <row r="100" customFormat="false" ht="15" hidden="false" customHeight="true" outlineLevel="0" collapsed="false">
      <c r="A100" s="21" t="n">
        <v>99</v>
      </c>
      <c r="B100" s="22" t="n">
        <v>45472</v>
      </c>
      <c r="C100" s="21" t="s">
        <v>31</v>
      </c>
      <c r="D100" s="21" t="s">
        <v>26</v>
      </c>
      <c r="E100" s="21" t="s">
        <v>19</v>
      </c>
      <c r="F100" s="21" t="n">
        <v>9</v>
      </c>
      <c r="G100" s="23" t="n">
        <v>5283.6</v>
      </c>
      <c r="H100" s="24" t="n">
        <f aca="false">F100*G100</f>
        <v>47552.4</v>
      </c>
    </row>
    <row r="101" customFormat="false" ht="15" hidden="false" customHeight="true" outlineLevel="0" collapsed="false">
      <c r="A101" s="25" t="n">
        <v>100</v>
      </c>
      <c r="B101" s="26" t="n">
        <v>45473</v>
      </c>
      <c r="C101" s="25" t="s">
        <v>17</v>
      </c>
      <c r="D101" s="25" t="s">
        <v>18</v>
      </c>
      <c r="E101" s="25" t="s">
        <v>28</v>
      </c>
      <c r="F101" s="25" t="n">
        <v>14</v>
      </c>
      <c r="G101" s="27" t="n">
        <v>28155.96</v>
      </c>
      <c r="H101" s="28" t="n">
        <f aca="false">F101*G101</f>
        <v>394183.44</v>
      </c>
    </row>
    <row r="102" customFormat="false" ht="15" hidden="false" customHeight="true" outlineLevel="0" collapsed="false">
      <c r="A102" s="21" t="n">
        <v>101</v>
      </c>
      <c r="B102" s="22" t="n">
        <v>45476</v>
      </c>
      <c r="C102" s="21" t="s">
        <v>23</v>
      </c>
      <c r="D102" s="21" t="s">
        <v>18</v>
      </c>
      <c r="E102" s="21" t="s">
        <v>28</v>
      </c>
      <c r="F102" s="21" t="n">
        <v>23</v>
      </c>
      <c r="G102" s="23" t="n">
        <v>6473.88</v>
      </c>
      <c r="H102" s="24" t="n">
        <f aca="false">F102*G102</f>
        <v>148899.24</v>
      </c>
    </row>
    <row r="103" customFormat="false" ht="15" hidden="false" customHeight="true" outlineLevel="0" collapsed="false">
      <c r="A103" s="25" t="n">
        <v>102</v>
      </c>
      <c r="B103" s="26" t="n">
        <v>45478</v>
      </c>
      <c r="C103" s="25" t="s">
        <v>20</v>
      </c>
      <c r="D103" s="25" t="s">
        <v>18</v>
      </c>
      <c r="E103" s="25" t="s">
        <v>21</v>
      </c>
      <c r="F103" s="25" t="n">
        <v>22</v>
      </c>
      <c r="G103" s="27" t="n">
        <v>9942.24</v>
      </c>
      <c r="H103" s="28" t="n">
        <f aca="false">F103*G103</f>
        <v>218729.28</v>
      </c>
    </row>
    <row r="104" customFormat="false" ht="15" hidden="false" customHeight="true" outlineLevel="0" collapsed="false">
      <c r="A104" s="21" t="n">
        <v>103</v>
      </c>
      <c r="B104" s="22" t="n">
        <v>45481</v>
      </c>
      <c r="C104" s="21" t="s">
        <v>29</v>
      </c>
      <c r="D104" s="21" t="s">
        <v>18</v>
      </c>
      <c r="E104" s="21" t="s">
        <v>22</v>
      </c>
      <c r="F104" s="21" t="n">
        <v>9</v>
      </c>
      <c r="G104" s="23" t="n">
        <v>35920.08</v>
      </c>
      <c r="H104" s="24" t="n">
        <f aca="false">F104*G104</f>
        <v>323280.72</v>
      </c>
    </row>
    <row r="105" customFormat="false" ht="15" hidden="false" customHeight="true" outlineLevel="0" collapsed="false">
      <c r="A105" s="25" t="n">
        <v>104</v>
      </c>
      <c r="B105" s="26" t="n">
        <v>45486</v>
      </c>
      <c r="C105" s="25" t="s">
        <v>31</v>
      </c>
      <c r="D105" s="25" t="s">
        <v>26</v>
      </c>
      <c r="E105" s="25" t="s">
        <v>21</v>
      </c>
      <c r="F105" s="25" t="n">
        <v>12</v>
      </c>
      <c r="G105" s="27" t="n">
        <v>4922.4</v>
      </c>
      <c r="H105" s="28" t="n">
        <f aca="false">F105*G105</f>
        <v>59068.8</v>
      </c>
    </row>
    <row r="106" customFormat="false" ht="15" hidden="false" customHeight="true" outlineLevel="0" collapsed="false">
      <c r="A106" s="21" t="n">
        <v>105</v>
      </c>
      <c r="B106" s="22" t="n">
        <v>45487</v>
      </c>
      <c r="C106" s="21" t="s">
        <v>27</v>
      </c>
      <c r="D106" s="21" t="s">
        <v>18</v>
      </c>
      <c r="E106" s="21" t="s">
        <v>19</v>
      </c>
      <c r="F106" s="21" t="n">
        <v>8</v>
      </c>
      <c r="G106" s="23" t="n">
        <v>121626.12</v>
      </c>
      <c r="H106" s="24" t="n">
        <f aca="false">F106*G106</f>
        <v>973008.96</v>
      </c>
    </row>
    <row r="107" customFormat="false" ht="15" hidden="false" customHeight="true" outlineLevel="0" collapsed="false">
      <c r="A107" s="25" t="n">
        <v>106</v>
      </c>
      <c r="B107" s="26" t="n">
        <v>45489</v>
      </c>
      <c r="C107" s="25" t="s">
        <v>32</v>
      </c>
      <c r="D107" s="25" t="s">
        <v>18</v>
      </c>
      <c r="E107" s="25" t="s">
        <v>24</v>
      </c>
      <c r="F107" s="25" t="n">
        <v>2</v>
      </c>
      <c r="G107" s="27" t="n">
        <v>15839.04</v>
      </c>
      <c r="H107" s="28" t="n">
        <f aca="false">F107*G107</f>
        <v>31678.08</v>
      </c>
    </row>
    <row r="108" customFormat="false" ht="15" hidden="false" customHeight="true" outlineLevel="0" collapsed="false">
      <c r="A108" s="21" t="n">
        <v>107</v>
      </c>
      <c r="B108" s="22" t="n">
        <v>45491</v>
      </c>
      <c r="C108" s="21" t="s">
        <v>20</v>
      </c>
      <c r="D108" s="21" t="s">
        <v>18</v>
      </c>
      <c r="E108" s="21" t="s">
        <v>28</v>
      </c>
      <c r="F108" s="21" t="n">
        <v>24</v>
      </c>
      <c r="G108" s="23" t="n">
        <v>11210.64</v>
      </c>
      <c r="H108" s="24" t="n">
        <f aca="false">F108*G108</f>
        <v>269055.36</v>
      </c>
    </row>
    <row r="109" customFormat="false" ht="15" hidden="false" customHeight="true" outlineLevel="0" collapsed="false">
      <c r="A109" s="25" t="n">
        <v>108</v>
      </c>
      <c r="B109" s="26" t="n">
        <v>45496</v>
      </c>
      <c r="C109" s="25" t="s">
        <v>29</v>
      </c>
      <c r="D109" s="25" t="s">
        <v>18</v>
      </c>
      <c r="E109" s="25" t="s">
        <v>28</v>
      </c>
      <c r="F109" s="25" t="n">
        <v>5</v>
      </c>
      <c r="G109" s="27" t="n">
        <v>36012.48</v>
      </c>
      <c r="H109" s="28" t="n">
        <f aca="false">F109*G109</f>
        <v>180062.4</v>
      </c>
    </row>
    <row r="110" customFormat="false" ht="15" hidden="false" customHeight="true" outlineLevel="0" collapsed="false">
      <c r="A110" s="21" t="n">
        <v>109</v>
      </c>
      <c r="B110" s="22" t="n">
        <v>45500</v>
      </c>
      <c r="C110" s="21" t="s">
        <v>29</v>
      </c>
      <c r="D110" s="21" t="s">
        <v>18</v>
      </c>
      <c r="E110" s="21" t="s">
        <v>22</v>
      </c>
      <c r="F110" s="21" t="n">
        <v>14</v>
      </c>
      <c r="G110" s="23" t="n">
        <v>39060.84</v>
      </c>
      <c r="H110" s="24" t="n">
        <f aca="false">F110*G110</f>
        <v>546851.76</v>
      </c>
    </row>
    <row r="111" customFormat="false" ht="15" hidden="false" customHeight="true" outlineLevel="0" collapsed="false">
      <c r="A111" s="25" t="n">
        <v>110</v>
      </c>
      <c r="B111" s="26" t="n">
        <v>45500</v>
      </c>
      <c r="C111" s="25" t="s">
        <v>31</v>
      </c>
      <c r="D111" s="25" t="s">
        <v>26</v>
      </c>
      <c r="E111" s="25" t="s">
        <v>24</v>
      </c>
      <c r="F111" s="25" t="n">
        <v>8</v>
      </c>
      <c r="G111" s="27" t="n">
        <v>5671.68</v>
      </c>
      <c r="H111" s="28" t="n">
        <f aca="false">F111*G111</f>
        <v>45373.44</v>
      </c>
    </row>
    <row r="112" customFormat="false" ht="15" hidden="false" customHeight="true" outlineLevel="0" collapsed="false">
      <c r="A112" s="21" t="n">
        <v>111</v>
      </c>
      <c r="B112" s="22" t="n">
        <v>45501</v>
      </c>
      <c r="C112" s="21" t="s">
        <v>31</v>
      </c>
      <c r="D112" s="21" t="s">
        <v>26</v>
      </c>
      <c r="E112" s="21" t="s">
        <v>21</v>
      </c>
      <c r="F112" s="21" t="n">
        <v>16</v>
      </c>
      <c r="G112" s="23" t="n">
        <v>5854.8</v>
      </c>
      <c r="H112" s="24" t="n">
        <f aca="false">F112*G112</f>
        <v>93676.8</v>
      </c>
    </row>
    <row r="113" customFormat="false" ht="15" hidden="false" customHeight="true" outlineLevel="0" collapsed="false">
      <c r="A113" s="25" t="n">
        <v>112</v>
      </c>
      <c r="B113" s="26" t="n">
        <v>45501</v>
      </c>
      <c r="C113" s="25" t="s">
        <v>29</v>
      </c>
      <c r="D113" s="25" t="s">
        <v>18</v>
      </c>
      <c r="E113" s="25" t="s">
        <v>19</v>
      </c>
      <c r="F113" s="25" t="n">
        <v>4</v>
      </c>
      <c r="G113" s="27" t="n">
        <v>36971.76</v>
      </c>
      <c r="H113" s="28" t="n">
        <f aca="false">F113*G113</f>
        <v>147887.04</v>
      </c>
    </row>
    <row r="114" customFormat="false" ht="15" hidden="false" customHeight="true" outlineLevel="0" collapsed="false">
      <c r="A114" s="21" t="n">
        <v>113</v>
      </c>
      <c r="B114" s="22" t="n">
        <v>45502</v>
      </c>
      <c r="C114" s="21" t="s">
        <v>31</v>
      </c>
      <c r="D114" s="21" t="s">
        <v>26</v>
      </c>
      <c r="E114" s="21" t="s">
        <v>22</v>
      </c>
      <c r="F114" s="21" t="n">
        <v>2</v>
      </c>
      <c r="G114" s="23" t="n">
        <v>6093.36</v>
      </c>
      <c r="H114" s="24" t="n">
        <f aca="false">F114*G114</f>
        <v>12186.72</v>
      </c>
    </row>
    <row r="115" customFormat="false" ht="15" hidden="false" customHeight="true" outlineLevel="0" collapsed="false">
      <c r="A115" s="25" t="n">
        <v>114</v>
      </c>
      <c r="B115" s="26" t="n">
        <v>45507</v>
      </c>
      <c r="C115" s="25" t="s">
        <v>30</v>
      </c>
      <c r="D115" s="25" t="s">
        <v>26</v>
      </c>
      <c r="E115" s="25" t="s">
        <v>22</v>
      </c>
      <c r="F115" s="25" t="n">
        <v>16</v>
      </c>
      <c r="G115" s="27" t="n">
        <v>36229.2</v>
      </c>
      <c r="H115" s="28" t="n">
        <f aca="false">F115*G115</f>
        <v>579667.2</v>
      </c>
    </row>
    <row r="116" customFormat="false" ht="15" hidden="false" customHeight="true" outlineLevel="0" collapsed="false">
      <c r="A116" s="21" t="n">
        <v>115</v>
      </c>
      <c r="B116" s="22" t="n">
        <v>45508</v>
      </c>
      <c r="C116" s="21" t="s">
        <v>17</v>
      </c>
      <c r="D116" s="21" t="s">
        <v>18</v>
      </c>
      <c r="E116" s="21" t="s">
        <v>19</v>
      </c>
      <c r="F116" s="21" t="n">
        <v>16</v>
      </c>
      <c r="G116" s="23" t="n">
        <v>26759.88</v>
      </c>
      <c r="H116" s="24" t="n">
        <f aca="false">F116*G116</f>
        <v>428158.08</v>
      </c>
    </row>
    <row r="117" customFormat="false" ht="15" hidden="false" customHeight="true" outlineLevel="0" collapsed="false">
      <c r="A117" s="25" t="n">
        <v>116</v>
      </c>
      <c r="B117" s="26" t="n">
        <v>45509</v>
      </c>
      <c r="C117" s="25" t="s">
        <v>25</v>
      </c>
      <c r="D117" s="25" t="s">
        <v>26</v>
      </c>
      <c r="E117" s="25" t="s">
        <v>28</v>
      </c>
      <c r="F117" s="25" t="n">
        <v>23</v>
      </c>
      <c r="G117" s="27" t="n">
        <v>43532.16</v>
      </c>
      <c r="H117" s="28" t="n">
        <f aca="false">F117*G117</f>
        <v>1001239.68</v>
      </c>
    </row>
    <row r="118" customFormat="false" ht="15" hidden="false" customHeight="true" outlineLevel="0" collapsed="false">
      <c r="A118" s="21" t="n">
        <v>117</v>
      </c>
      <c r="B118" s="22" t="n">
        <v>45510</v>
      </c>
      <c r="C118" s="21" t="s">
        <v>17</v>
      </c>
      <c r="D118" s="21" t="s">
        <v>18</v>
      </c>
      <c r="E118" s="21" t="s">
        <v>24</v>
      </c>
      <c r="F118" s="21" t="n">
        <v>6</v>
      </c>
      <c r="G118" s="23" t="n">
        <v>25404.12</v>
      </c>
      <c r="H118" s="24" t="n">
        <f aca="false">F118*G118</f>
        <v>152424.72</v>
      </c>
    </row>
    <row r="119" customFormat="false" ht="15" hidden="false" customHeight="true" outlineLevel="0" collapsed="false">
      <c r="A119" s="25" t="n">
        <v>118</v>
      </c>
      <c r="B119" s="26" t="n">
        <v>45515</v>
      </c>
      <c r="C119" s="25" t="s">
        <v>31</v>
      </c>
      <c r="D119" s="25" t="s">
        <v>26</v>
      </c>
      <c r="E119" s="25" t="s">
        <v>21</v>
      </c>
      <c r="F119" s="25" t="n">
        <v>16</v>
      </c>
      <c r="G119" s="27" t="n">
        <v>6237</v>
      </c>
      <c r="H119" s="28" t="n">
        <f aca="false">F119*G119</f>
        <v>99792</v>
      </c>
    </row>
    <row r="120" customFormat="false" ht="15" hidden="false" customHeight="true" outlineLevel="0" collapsed="false">
      <c r="A120" s="21" t="n">
        <v>119</v>
      </c>
      <c r="B120" s="22" t="n">
        <v>45516</v>
      </c>
      <c r="C120" s="21" t="s">
        <v>17</v>
      </c>
      <c r="D120" s="21" t="s">
        <v>18</v>
      </c>
      <c r="E120" s="21" t="s">
        <v>19</v>
      </c>
      <c r="F120" s="21" t="n">
        <v>8</v>
      </c>
      <c r="G120" s="23" t="n">
        <v>25439.4</v>
      </c>
      <c r="H120" s="24" t="n">
        <f aca="false">F120*G120</f>
        <v>203515.2</v>
      </c>
    </row>
    <row r="121" customFormat="false" ht="15" hidden="false" customHeight="true" outlineLevel="0" collapsed="false">
      <c r="A121" s="25" t="n">
        <v>120</v>
      </c>
      <c r="B121" s="26" t="n">
        <v>45517</v>
      </c>
      <c r="C121" s="25" t="s">
        <v>29</v>
      </c>
      <c r="D121" s="25" t="s">
        <v>18</v>
      </c>
      <c r="E121" s="25" t="s">
        <v>21</v>
      </c>
      <c r="F121" s="25" t="n">
        <v>2</v>
      </c>
      <c r="G121" s="27" t="n">
        <v>35682.36</v>
      </c>
      <c r="H121" s="28" t="n">
        <f aca="false">F121*G121</f>
        <v>71364.72</v>
      </c>
    </row>
    <row r="122" customFormat="false" ht="15" hidden="false" customHeight="true" outlineLevel="0" collapsed="false">
      <c r="A122" s="21" t="n">
        <v>121</v>
      </c>
      <c r="B122" s="22" t="n">
        <v>45518</v>
      </c>
      <c r="C122" s="21" t="s">
        <v>17</v>
      </c>
      <c r="D122" s="21" t="s">
        <v>18</v>
      </c>
      <c r="E122" s="21" t="s">
        <v>22</v>
      </c>
      <c r="F122" s="21" t="n">
        <v>18</v>
      </c>
      <c r="G122" s="23" t="n">
        <v>27035.4</v>
      </c>
      <c r="H122" s="24" t="n">
        <f aca="false">F122*G122</f>
        <v>486637.2</v>
      </c>
    </row>
    <row r="123" customFormat="false" ht="15" hidden="false" customHeight="true" outlineLevel="0" collapsed="false">
      <c r="A123" s="25" t="n">
        <v>122</v>
      </c>
      <c r="B123" s="26" t="n">
        <v>45518</v>
      </c>
      <c r="C123" s="25" t="s">
        <v>30</v>
      </c>
      <c r="D123" s="25" t="s">
        <v>26</v>
      </c>
      <c r="E123" s="25" t="s">
        <v>21</v>
      </c>
      <c r="F123" s="25" t="n">
        <v>14</v>
      </c>
      <c r="G123" s="27" t="n">
        <v>36435</v>
      </c>
      <c r="H123" s="28" t="n">
        <f aca="false">F123*G123</f>
        <v>510090</v>
      </c>
    </row>
    <row r="124" customFormat="false" ht="15" hidden="false" customHeight="true" outlineLevel="0" collapsed="false">
      <c r="A124" s="21" t="n">
        <v>123</v>
      </c>
      <c r="B124" s="22" t="n">
        <v>45522</v>
      </c>
      <c r="C124" s="21" t="s">
        <v>30</v>
      </c>
      <c r="D124" s="21" t="s">
        <v>26</v>
      </c>
      <c r="E124" s="21" t="s">
        <v>21</v>
      </c>
      <c r="F124" s="21" t="n">
        <v>21</v>
      </c>
      <c r="G124" s="23" t="n">
        <v>35549.64</v>
      </c>
      <c r="H124" s="24" t="n">
        <f aca="false">F124*G124</f>
        <v>746542.44</v>
      </c>
    </row>
    <row r="125" customFormat="false" ht="15" hidden="false" customHeight="true" outlineLevel="0" collapsed="false">
      <c r="A125" s="25" t="n">
        <v>124</v>
      </c>
      <c r="B125" s="26" t="n">
        <v>45522</v>
      </c>
      <c r="C125" s="25" t="s">
        <v>25</v>
      </c>
      <c r="D125" s="25" t="s">
        <v>26</v>
      </c>
      <c r="E125" s="25" t="s">
        <v>28</v>
      </c>
      <c r="F125" s="25" t="n">
        <v>19</v>
      </c>
      <c r="G125" s="27" t="n">
        <v>50156.4</v>
      </c>
      <c r="H125" s="28" t="n">
        <f aca="false">F125*G125</f>
        <v>952971.6</v>
      </c>
    </row>
    <row r="126" customFormat="false" ht="15" hidden="false" customHeight="true" outlineLevel="0" collapsed="false">
      <c r="A126" s="21" t="n">
        <v>125</v>
      </c>
      <c r="B126" s="22" t="n">
        <v>45526</v>
      </c>
      <c r="C126" s="21" t="s">
        <v>29</v>
      </c>
      <c r="D126" s="21" t="s">
        <v>18</v>
      </c>
      <c r="E126" s="21" t="s">
        <v>22</v>
      </c>
      <c r="F126" s="21" t="n">
        <v>3</v>
      </c>
      <c r="G126" s="23" t="n">
        <v>42703.92</v>
      </c>
      <c r="H126" s="24" t="n">
        <f aca="false">F126*G126</f>
        <v>128111.76</v>
      </c>
    </row>
    <row r="127" customFormat="false" ht="15" hidden="false" customHeight="true" outlineLevel="0" collapsed="false">
      <c r="A127" s="25" t="n">
        <v>126</v>
      </c>
      <c r="B127" s="26" t="n">
        <v>45526</v>
      </c>
      <c r="C127" s="25" t="s">
        <v>32</v>
      </c>
      <c r="D127" s="25" t="s">
        <v>18</v>
      </c>
      <c r="E127" s="25" t="s">
        <v>22</v>
      </c>
      <c r="F127" s="25" t="n">
        <v>4</v>
      </c>
      <c r="G127" s="27" t="n">
        <v>19216.68</v>
      </c>
      <c r="H127" s="28" t="n">
        <f aca="false">F127*G127</f>
        <v>76866.72</v>
      </c>
    </row>
    <row r="128" customFormat="false" ht="15" hidden="false" customHeight="true" outlineLevel="0" collapsed="false">
      <c r="A128" s="21" t="n">
        <v>127</v>
      </c>
      <c r="B128" s="22" t="n">
        <v>45527</v>
      </c>
      <c r="C128" s="21" t="s">
        <v>29</v>
      </c>
      <c r="D128" s="21" t="s">
        <v>18</v>
      </c>
      <c r="E128" s="21" t="s">
        <v>19</v>
      </c>
      <c r="F128" s="21" t="n">
        <v>8</v>
      </c>
      <c r="G128" s="23" t="n">
        <v>36822.24</v>
      </c>
      <c r="H128" s="24" t="n">
        <f aca="false">F128*G128</f>
        <v>294577.92</v>
      </c>
    </row>
    <row r="129" customFormat="false" ht="15" hidden="false" customHeight="true" outlineLevel="0" collapsed="false">
      <c r="A129" s="25" t="n">
        <v>128</v>
      </c>
      <c r="B129" s="26" t="n">
        <v>45528</v>
      </c>
      <c r="C129" s="25" t="s">
        <v>20</v>
      </c>
      <c r="D129" s="25" t="s">
        <v>18</v>
      </c>
      <c r="E129" s="25" t="s">
        <v>28</v>
      </c>
      <c r="F129" s="25" t="n">
        <v>21</v>
      </c>
      <c r="G129" s="27" t="n">
        <v>10484.04</v>
      </c>
      <c r="H129" s="28" t="n">
        <f aca="false">F129*G129</f>
        <v>220164.84</v>
      </c>
    </row>
    <row r="130" customFormat="false" ht="15" hidden="false" customHeight="true" outlineLevel="0" collapsed="false">
      <c r="A130" s="21" t="n">
        <v>129</v>
      </c>
      <c r="B130" s="22" t="n">
        <v>45529</v>
      </c>
      <c r="C130" s="21" t="s">
        <v>27</v>
      </c>
      <c r="D130" s="21" t="s">
        <v>18</v>
      </c>
      <c r="E130" s="21" t="s">
        <v>24</v>
      </c>
      <c r="F130" s="21" t="n">
        <v>4</v>
      </c>
      <c r="G130" s="23" t="n">
        <v>113410.08</v>
      </c>
      <c r="H130" s="24" t="n">
        <f aca="false">F130*G130</f>
        <v>453640.32</v>
      </c>
    </row>
    <row r="131" customFormat="false" ht="15" hidden="false" customHeight="true" outlineLevel="0" collapsed="false">
      <c r="A131" s="25" t="n">
        <v>130</v>
      </c>
      <c r="B131" s="26" t="n">
        <v>45530</v>
      </c>
      <c r="C131" s="25" t="s">
        <v>20</v>
      </c>
      <c r="D131" s="25" t="s">
        <v>18</v>
      </c>
      <c r="E131" s="25" t="s">
        <v>21</v>
      </c>
      <c r="F131" s="25" t="n">
        <v>19</v>
      </c>
      <c r="G131" s="27" t="n">
        <v>11989.32</v>
      </c>
      <c r="H131" s="28" t="n">
        <f aca="false">F131*G131</f>
        <v>227797.08</v>
      </c>
    </row>
    <row r="132" customFormat="false" ht="15" hidden="false" customHeight="true" outlineLevel="0" collapsed="false">
      <c r="A132" s="21" t="n">
        <v>131</v>
      </c>
      <c r="B132" s="22" t="n">
        <v>45534</v>
      </c>
      <c r="C132" s="21" t="s">
        <v>25</v>
      </c>
      <c r="D132" s="21" t="s">
        <v>26</v>
      </c>
      <c r="E132" s="21" t="s">
        <v>19</v>
      </c>
      <c r="F132" s="21" t="n">
        <v>14</v>
      </c>
      <c r="G132" s="23" t="n">
        <v>50550.36</v>
      </c>
      <c r="H132" s="24" t="n">
        <f aca="false">F132*G132</f>
        <v>707705.04</v>
      </c>
    </row>
    <row r="133" customFormat="false" ht="15" hidden="false" customHeight="true" outlineLevel="0" collapsed="false">
      <c r="A133" s="25" t="n">
        <v>132</v>
      </c>
      <c r="B133" s="26" t="n">
        <v>45536</v>
      </c>
      <c r="C133" s="25" t="s">
        <v>33</v>
      </c>
      <c r="D133" s="25" t="s">
        <v>18</v>
      </c>
      <c r="E133" s="25" t="s">
        <v>24</v>
      </c>
      <c r="F133" s="25" t="n">
        <v>13</v>
      </c>
      <c r="G133" s="27" t="n">
        <v>4179</v>
      </c>
      <c r="H133" s="28" t="n">
        <f aca="false">F133*G133</f>
        <v>54327</v>
      </c>
    </row>
    <row r="134" customFormat="false" ht="15" hidden="false" customHeight="true" outlineLevel="0" collapsed="false">
      <c r="A134" s="21" t="n">
        <v>133</v>
      </c>
      <c r="B134" s="22" t="n">
        <v>45540</v>
      </c>
      <c r="C134" s="21" t="s">
        <v>33</v>
      </c>
      <c r="D134" s="21" t="s">
        <v>18</v>
      </c>
      <c r="E134" s="21" t="s">
        <v>19</v>
      </c>
      <c r="F134" s="21" t="n">
        <v>18</v>
      </c>
      <c r="G134" s="23" t="n">
        <v>4326</v>
      </c>
      <c r="H134" s="24" t="n">
        <f aca="false">F134*G134</f>
        <v>77868</v>
      </c>
    </row>
    <row r="135" customFormat="false" ht="15" hidden="false" customHeight="true" outlineLevel="0" collapsed="false">
      <c r="A135" s="25" t="n">
        <v>134</v>
      </c>
      <c r="B135" s="26" t="n">
        <v>45540</v>
      </c>
      <c r="C135" s="25" t="s">
        <v>27</v>
      </c>
      <c r="D135" s="25" t="s">
        <v>18</v>
      </c>
      <c r="E135" s="25" t="s">
        <v>24</v>
      </c>
      <c r="F135" s="25" t="n">
        <v>22</v>
      </c>
      <c r="G135" s="27" t="n">
        <v>108811.92</v>
      </c>
      <c r="H135" s="28" t="n">
        <f aca="false">F135*G135</f>
        <v>2393862.24</v>
      </c>
    </row>
    <row r="136" customFormat="false" ht="15" hidden="false" customHeight="true" outlineLevel="0" collapsed="false">
      <c r="A136" s="21" t="n">
        <v>135</v>
      </c>
      <c r="B136" s="22" t="n">
        <v>45542</v>
      </c>
      <c r="C136" s="21" t="s">
        <v>33</v>
      </c>
      <c r="D136" s="21" t="s">
        <v>18</v>
      </c>
      <c r="E136" s="21" t="s">
        <v>24</v>
      </c>
      <c r="F136" s="21" t="n">
        <v>12</v>
      </c>
      <c r="G136" s="23" t="n">
        <v>3811.92</v>
      </c>
      <c r="H136" s="24" t="n">
        <f aca="false">F136*G136</f>
        <v>45743.04</v>
      </c>
    </row>
    <row r="137" customFormat="false" ht="15" hidden="false" customHeight="true" outlineLevel="0" collapsed="false">
      <c r="A137" s="25" t="n">
        <v>136</v>
      </c>
      <c r="B137" s="26" t="n">
        <v>45544</v>
      </c>
      <c r="C137" s="25" t="s">
        <v>33</v>
      </c>
      <c r="D137" s="25" t="s">
        <v>18</v>
      </c>
      <c r="E137" s="25" t="s">
        <v>19</v>
      </c>
      <c r="F137" s="25" t="n">
        <v>4</v>
      </c>
      <c r="G137" s="27" t="n">
        <v>4116</v>
      </c>
      <c r="H137" s="28" t="n">
        <f aca="false">F137*G137</f>
        <v>16464</v>
      </c>
    </row>
    <row r="138" customFormat="false" ht="15" hidden="false" customHeight="true" outlineLevel="0" collapsed="false">
      <c r="A138" s="21" t="n">
        <v>137</v>
      </c>
      <c r="B138" s="22" t="n">
        <v>45544</v>
      </c>
      <c r="C138" s="21" t="s">
        <v>31</v>
      </c>
      <c r="D138" s="21" t="s">
        <v>26</v>
      </c>
      <c r="E138" s="21" t="s">
        <v>24</v>
      </c>
      <c r="F138" s="21" t="n">
        <v>2</v>
      </c>
      <c r="G138" s="23" t="n">
        <v>5024.04</v>
      </c>
      <c r="H138" s="24" t="n">
        <f aca="false">F138*G138</f>
        <v>10048.08</v>
      </c>
    </row>
    <row r="139" customFormat="false" ht="15" hidden="false" customHeight="true" outlineLevel="0" collapsed="false">
      <c r="A139" s="25" t="n">
        <v>138</v>
      </c>
      <c r="B139" s="26" t="n">
        <v>45551</v>
      </c>
      <c r="C139" s="25" t="s">
        <v>30</v>
      </c>
      <c r="D139" s="25" t="s">
        <v>26</v>
      </c>
      <c r="E139" s="25" t="s">
        <v>24</v>
      </c>
      <c r="F139" s="25" t="n">
        <v>11</v>
      </c>
      <c r="G139" s="27" t="n">
        <v>34856.64</v>
      </c>
      <c r="H139" s="28" t="n">
        <f aca="false">F139*G139</f>
        <v>383423.04</v>
      </c>
    </row>
    <row r="140" customFormat="false" ht="15" hidden="false" customHeight="true" outlineLevel="0" collapsed="false">
      <c r="A140" s="21" t="n">
        <v>139</v>
      </c>
      <c r="B140" s="22" t="n">
        <v>45553</v>
      </c>
      <c r="C140" s="21" t="s">
        <v>31</v>
      </c>
      <c r="D140" s="21" t="s">
        <v>26</v>
      </c>
      <c r="E140" s="21" t="s">
        <v>19</v>
      </c>
      <c r="F140" s="21" t="n">
        <v>24</v>
      </c>
      <c r="G140" s="23" t="n">
        <v>5997.6</v>
      </c>
      <c r="H140" s="24" t="n">
        <f aca="false">F140*G140</f>
        <v>143942.4</v>
      </c>
    </row>
    <row r="141" customFormat="false" ht="15" hidden="false" customHeight="true" outlineLevel="0" collapsed="false">
      <c r="A141" s="25" t="n">
        <v>140</v>
      </c>
      <c r="B141" s="26" t="n">
        <v>45555</v>
      </c>
      <c r="C141" s="25" t="s">
        <v>25</v>
      </c>
      <c r="D141" s="25" t="s">
        <v>26</v>
      </c>
      <c r="E141" s="25" t="s">
        <v>19</v>
      </c>
      <c r="F141" s="25" t="n">
        <v>16</v>
      </c>
      <c r="G141" s="27" t="n">
        <v>44714.88</v>
      </c>
      <c r="H141" s="28" t="n">
        <f aca="false">F141*G141</f>
        <v>715438.08</v>
      </c>
    </row>
    <row r="142" customFormat="false" ht="15" hidden="false" customHeight="true" outlineLevel="0" collapsed="false">
      <c r="A142" s="21" t="n">
        <v>141</v>
      </c>
      <c r="B142" s="22" t="n">
        <v>45557</v>
      </c>
      <c r="C142" s="21" t="s">
        <v>31</v>
      </c>
      <c r="D142" s="21" t="s">
        <v>26</v>
      </c>
      <c r="E142" s="21" t="s">
        <v>28</v>
      </c>
      <c r="F142" s="21" t="n">
        <v>6</v>
      </c>
      <c r="G142" s="23" t="n">
        <v>6164.76</v>
      </c>
      <c r="H142" s="24" t="n">
        <f aca="false">F142*G142</f>
        <v>36988.56</v>
      </c>
    </row>
    <row r="143" customFormat="false" ht="15" hidden="false" customHeight="true" outlineLevel="0" collapsed="false">
      <c r="A143" s="25" t="n">
        <v>142</v>
      </c>
      <c r="B143" s="26" t="n">
        <v>45557</v>
      </c>
      <c r="C143" s="25" t="s">
        <v>29</v>
      </c>
      <c r="D143" s="25" t="s">
        <v>18</v>
      </c>
      <c r="E143" s="25" t="s">
        <v>24</v>
      </c>
      <c r="F143" s="25" t="n">
        <v>16</v>
      </c>
      <c r="G143" s="27" t="n">
        <v>39815.16</v>
      </c>
      <c r="H143" s="28" t="n">
        <f aca="false">F143*G143</f>
        <v>637042.56</v>
      </c>
    </row>
    <row r="144" customFormat="false" ht="15" hidden="false" customHeight="true" outlineLevel="0" collapsed="false">
      <c r="A144" s="21" t="n">
        <v>143</v>
      </c>
      <c r="B144" s="22" t="n">
        <v>45558</v>
      </c>
      <c r="C144" s="21" t="s">
        <v>31</v>
      </c>
      <c r="D144" s="21" t="s">
        <v>26</v>
      </c>
      <c r="E144" s="21" t="s">
        <v>24</v>
      </c>
      <c r="F144" s="21" t="n">
        <v>9</v>
      </c>
      <c r="G144" s="23" t="n">
        <v>5769.12</v>
      </c>
      <c r="H144" s="24" t="n">
        <f aca="false">F144*G144</f>
        <v>51922.08</v>
      </c>
    </row>
    <row r="145" customFormat="false" ht="15" hidden="false" customHeight="true" outlineLevel="0" collapsed="false">
      <c r="A145" s="25" t="n">
        <v>144</v>
      </c>
      <c r="B145" s="26" t="n">
        <v>45559</v>
      </c>
      <c r="C145" s="25" t="s">
        <v>29</v>
      </c>
      <c r="D145" s="25" t="s">
        <v>18</v>
      </c>
      <c r="E145" s="25" t="s">
        <v>21</v>
      </c>
      <c r="F145" s="25" t="n">
        <v>7</v>
      </c>
      <c r="G145" s="27" t="n">
        <v>42757.68</v>
      </c>
      <c r="H145" s="28" t="n">
        <f aca="false">F145*G145</f>
        <v>299303.76</v>
      </c>
    </row>
    <row r="146" customFormat="false" ht="15" hidden="false" customHeight="true" outlineLevel="0" collapsed="false">
      <c r="A146" s="21" t="n">
        <v>145</v>
      </c>
      <c r="B146" s="22" t="n">
        <v>45562</v>
      </c>
      <c r="C146" s="21" t="s">
        <v>32</v>
      </c>
      <c r="D146" s="21" t="s">
        <v>18</v>
      </c>
      <c r="E146" s="21" t="s">
        <v>28</v>
      </c>
      <c r="F146" s="21" t="n">
        <v>7</v>
      </c>
      <c r="G146" s="23" t="n">
        <v>16812.6</v>
      </c>
      <c r="H146" s="24" t="n">
        <f aca="false">F146*G146</f>
        <v>117688.2</v>
      </c>
    </row>
    <row r="147" customFormat="false" ht="15" hidden="false" customHeight="true" outlineLevel="0" collapsed="false">
      <c r="A147" s="25" t="n">
        <v>146</v>
      </c>
      <c r="B147" s="26" t="n">
        <v>45563</v>
      </c>
      <c r="C147" s="25" t="s">
        <v>27</v>
      </c>
      <c r="D147" s="25" t="s">
        <v>18</v>
      </c>
      <c r="E147" s="25" t="s">
        <v>22</v>
      </c>
      <c r="F147" s="25" t="n">
        <v>16</v>
      </c>
      <c r="G147" s="27" t="n">
        <v>114543.24</v>
      </c>
      <c r="H147" s="28" t="n">
        <f aca="false">F147*G147</f>
        <v>1832691.84</v>
      </c>
    </row>
    <row r="148" customFormat="false" ht="15" hidden="false" customHeight="true" outlineLevel="0" collapsed="false">
      <c r="A148" s="21" t="n">
        <v>147</v>
      </c>
      <c r="B148" s="22" t="n">
        <v>45566</v>
      </c>
      <c r="C148" s="21" t="s">
        <v>33</v>
      </c>
      <c r="D148" s="21" t="s">
        <v>18</v>
      </c>
      <c r="E148" s="21" t="s">
        <v>22</v>
      </c>
      <c r="F148" s="21" t="n">
        <v>13</v>
      </c>
      <c r="G148" s="23" t="n">
        <v>4321.8</v>
      </c>
      <c r="H148" s="24" t="n">
        <f aca="false">F148*G148</f>
        <v>56183.4</v>
      </c>
    </row>
    <row r="149" customFormat="false" ht="15" hidden="false" customHeight="true" outlineLevel="0" collapsed="false">
      <c r="A149" s="25" t="n">
        <v>148</v>
      </c>
      <c r="B149" s="26" t="n">
        <v>45567</v>
      </c>
      <c r="C149" s="25" t="s">
        <v>30</v>
      </c>
      <c r="D149" s="25" t="s">
        <v>26</v>
      </c>
      <c r="E149" s="25" t="s">
        <v>28</v>
      </c>
      <c r="F149" s="25" t="n">
        <v>14</v>
      </c>
      <c r="G149" s="27" t="n">
        <v>35511</v>
      </c>
      <c r="H149" s="28" t="n">
        <f aca="false">F149*G149</f>
        <v>497154</v>
      </c>
    </row>
    <row r="150" customFormat="false" ht="15" hidden="false" customHeight="true" outlineLevel="0" collapsed="false">
      <c r="A150" s="21" t="n">
        <v>149</v>
      </c>
      <c r="B150" s="22" t="n">
        <v>45567</v>
      </c>
      <c r="C150" s="21" t="s">
        <v>25</v>
      </c>
      <c r="D150" s="21" t="s">
        <v>26</v>
      </c>
      <c r="E150" s="21" t="s">
        <v>21</v>
      </c>
      <c r="F150" s="21" t="n">
        <v>5</v>
      </c>
      <c r="G150" s="23" t="n">
        <v>47336.52</v>
      </c>
      <c r="H150" s="24" t="n">
        <f aca="false">F150*G150</f>
        <v>236682.6</v>
      </c>
    </row>
    <row r="151" customFormat="false" ht="15" hidden="false" customHeight="true" outlineLevel="0" collapsed="false">
      <c r="A151" s="25" t="n">
        <v>150</v>
      </c>
      <c r="B151" s="26" t="n">
        <v>45568</v>
      </c>
      <c r="C151" s="25" t="s">
        <v>23</v>
      </c>
      <c r="D151" s="25" t="s">
        <v>18</v>
      </c>
      <c r="E151" s="25" t="s">
        <v>28</v>
      </c>
      <c r="F151" s="25" t="n">
        <v>19</v>
      </c>
      <c r="G151" s="27" t="n">
        <v>7172.76</v>
      </c>
      <c r="H151" s="28" t="n">
        <f aca="false">F151*G151</f>
        <v>136282.44</v>
      </c>
    </row>
    <row r="152" customFormat="false" ht="15" hidden="false" customHeight="true" outlineLevel="0" collapsed="false">
      <c r="A152" s="21" t="n">
        <v>151</v>
      </c>
      <c r="B152" s="22" t="n">
        <v>45568</v>
      </c>
      <c r="C152" s="21" t="s">
        <v>33</v>
      </c>
      <c r="D152" s="21" t="s">
        <v>18</v>
      </c>
      <c r="E152" s="21" t="s">
        <v>24</v>
      </c>
      <c r="F152" s="21" t="n">
        <v>8</v>
      </c>
      <c r="G152" s="23" t="n">
        <v>3533.04</v>
      </c>
      <c r="H152" s="24" t="n">
        <f aca="false">F152*G152</f>
        <v>28264.32</v>
      </c>
    </row>
    <row r="153" customFormat="false" ht="15" hidden="false" customHeight="true" outlineLevel="0" collapsed="false">
      <c r="A153" s="25" t="n">
        <v>152</v>
      </c>
      <c r="B153" s="26" t="n">
        <v>45568</v>
      </c>
      <c r="C153" s="25" t="s">
        <v>27</v>
      </c>
      <c r="D153" s="25" t="s">
        <v>18</v>
      </c>
      <c r="E153" s="25" t="s">
        <v>19</v>
      </c>
      <c r="F153" s="25" t="n">
        <v>12</v>
      </c>
      <c r="G153" s="27" t="n">
        <v>125480.88</v>
      </c>
      <c r="H153" s="28" t="n">
        <f aca="false">F153*G153</f>
        <v>1505770.56</v>
      </c>
    </row>
    <row r="154" customFormat="false" ht="15" hidden="false" customHeight="true" outlineLevel="0" collapsed="false">
      <c r="A154" s="21" t="n">
        <v>153</v>
      </c>
      <c r="B154" s="22" t="n">
        <v>45569</v>
      </c>
      <c r="C154" s="21" t="s">
        <v>27</v>
      </c>
      <c r="D154" s="21" t="s">
        <v>18</v>
      </c>
      <c r="E154" s="21" t="s">
        <v>22</v>
      </c>
      <c r="F154" s="21" t="n">
        <v>2</v>
      </c>
      <c r="G154" s="23" t="n">
        <v>118608.84</v>
      </c>
      <c r="H154" s="24" t="n">
        <f aca="false">F154*G154</f>
        <v>237217.68</v>
      </c>
    </row>
    <row r="155" customFormat="false" ht="15" hidden="false" customHeight="true" outlineLevel="0" collapsed="false">
      <c r="A155" s="25" t="n">
        <v>154</v>
      </c>
      <c r="B155" s="26" t="n">
        <v>45570</v>
      </c>
      <c r="C155" s="25" t="s">
        <v>30</v>
      </c>
      <c r="D155" s="25" t="s">
        <v>26</v>
      </c>
      <c r="E155" s="25" t="s">
        <v>28</v>
      </c>
      <c r="F155" s="25" t="n">
        <v>21</v>
      </c>
      <c r="G155" s="27" t="n">
        <v>34405.56</v>
      </c>
      <c r="H155" s="28" t="n">
        <f aca="false">F155*G155</f>
        <v>722516.76</v>
      </c>
    </row>
    <row r="156" customFormat="false" ht="15" hidden="false" customHeight="true" outlineLevel="0" collapsed="false">
      <c r="A156" s="21" t="n">
        <v>155</v>
      </c>
      <c r="B156" s="22" t="n">
        <v>45571</v>
      </c>
      <c r="C156" s="21" t="s">
        <v>27</v>
      </c>
      <c r="D156" s="21" t="s">
        <v>18</v>
      </c>
      <c r="E156" s="21" t="s">
        <v>28</v>
      </c>
      <c r="F156" s="21" t="n">
        <v>19</v>
      </c>
      <c r="G156" s="23" t="n">
        <v>120970.92</v>
      </c>
      <c r="H156" s="24" t="n">
        <f aca="false">F156*G156</f>
        <v>2298447.48</v>
      </c>
    </row>
    <row r="157" customFormat="false" ht="15" hidden="false" customHeight="true" outlineLevel="0" collapsed="false">
      <c r="A157" s="25" t="n">
        <v>156</v>
      </c>
      <c r="B157" s="26" t="n">
        <v>45573</v>
      </c>
      <c r="C157" s="25" t="s">
        <v>33</v>
      </c>
      <c r="D157" s="25" t="s">
        <v>18</v>
      </c>
      <c r="E157" s="25" t="s">
        <v>22</v>
      </c>
      <c r="F157" s="25" t="n">
        <v>18</v>
      </c>
      <c r="G157" s="27" t="n">
        <v>3449.88</v>
      </c>
      <c r="H157" s="28" t="n">
        <f aca="false">F157*G157</f>
        <v>62097.84</v>
      </c>
    </row>
    <row r="158" customFormat="false" ht="15" hidden="false" customHeight="true" outlineLevel="0" collapsed="false">
      <c r="A158" s="21" t="n">
        <v>157</v>
      </c>
      <c r="B158" s="22" t="n">
        <v>45573</v>
      </c>
      <c r="C158" s="21" t="s">
        <v>27</v>
      </c>
      <c r="D158" s="21" t="s">
        <v>18</v>
      </c>
      <c r="E158" s="21" t="s">
        <v>21</v>
      </c>
      <c r="F158" s="21" t="n">
        <v>11</v>
      </c>
      <c r="G158" s="23" t="n">
        <v>110611.2</v>
      </c>
      <c r="H158" s="24" t="n">
        <f aca="false">F158*G158</f>
        <v>1216723.2</v>
      </c>
    </row>
    <row r="159" customFormat="false" ht="15" hidden="false" customHeight="true" outlineLevel="0" collapsed="false">
      <c r="A159" s="25" t="n">
        <v>158</v>
      </c>
      <c r="B159" s="26" t="n">
        <v>45574</v>
      </c>
      <c r="C159" s="25" t="s">
        <v>30</v>
      </c>
      <c r="D159" s="25" t="s">
        <v>26</v>
      </c>
      <c r="E159" s="25" t="s">
        <v>21</v>
      </c>
      <c r="F159" s="25" t="n">
        <v>20</v>
      </c>
      <c r="G159" s="27" t="n">
        <v>36183.84</v>
      </c>
      <c r="H159" s="28" t="n">
        <f aca="false">F159*G159</f>
        <v>723676.8</v>
      </c>
    </row>
    <row r="160" customFormat="false" ht="15" hidden="false" customHeight="true" outlineLevel="0" collapsed="false">
      <c r="A160" s="21" t="n">
        <v>159</v>
      </c>
      <c r="B160" s="22" t="n">
        <v>45580</v>
      </c>
      <c r="C160" s="21" t="s">
        <v>25</v>
      </c>
      <c r="D160" s="21" t="s">
        <v>26</v>
      </c>
      <c r="E160" s="21" t="s">
        <v>21</v>
      </c>
      <c r="F160" s="21" t="n">
        <v>9</v>
      </c>
      <c r="G160" s="23" t="n">
        <v>46866.12</v>
      </c>
      <c r="H160" s="24" t="n">
        <f aca="false">F160*G160</f>
        <v>421795.08</v>
      </c>
    </row>
    <row r="161" customFormat="false" ht="15" hidden="false" customHeight="true" outlineLevel="0" collapsed="false">
      <c r="A161" s="25" t="n">
        <v>160</v>
      </c>
      <c r="B161" s="26" t="n">
        <v>45581</v>
      </c>
      <c r="C161" s="25" t="s">
        <v>27</v>
      </c>
      <c r="D161" s="25" t="s">
        <v>18</v>
      </c>
      <c r="E161" s="25" t="s">
        <v>21</v>
      </c>
      <c r="F161" s="25" t="n">
        <v>14</v>
      </c>
      <c r="G161" s="27" t="n">
        <v>107675.4</v>
      </c>
      <c r="H161" s="28" t="n">
        <f aca="false">F161*G161</f>
        <v>1507455.6</v>
      </c>
    </row>
    <row r="162" customFormat="false" ht="15" hidden="false" customHeight="true" outlineLevel="0" collapsed="false">
      <c r="A162" s="21" t="n">
        <v>161</v>
      </c>
      <c r="B162" s="22" t="n">
        <v>45583</v>
      </c>
      <c r="C162" s="21" t="s">
        <v>30</v>
      </c>
      <c r="D162" s="21" t="s">
        <v>26</v>
      </c>
      <c r="E162" s="21" t="s">
        <v>21</v>
      </c>
      <c r="F162" s="21" t="n">
        <v>1</v>
      </c>
      <c r="G162" s="23" t="n">
        <v>32725.56</v>
      </c>
      <c r="H162" s="24" t="n">
        <f aca="false">F162*G162</f>
        <v>32725.56</v>
      </c>
    </row>
    <row r="163" customFormat="false" ht="15" hidden="false" customHeight="true" outlineLevel="0" collapsed="false">
      <c r="A163" s="25" t="n">
        <v>162</v>
      </c>
      <c r="B163" s="26" t="n">
        <v>45583</v>
      </c>
      <c r="C163" s="25" t="s">
        <v>32</v>
      </c>
      <c r="D163" s="25" t="s">
        <v>18</v>
      </c>
      <c r="E163" s="25" t="s">
        <v>22</v>
      </c>
      <c r="F163" s="25" t="n">
        <v>24</v>
      </c>
      <c r="G163" s="27" t="n">
        <v>15296.4</v>
      </c>
      <c r="H163" s="28" t="n">
        <f aca="false">F163*G163</f>
        <v>367113.6</v>
      </c>
    </row>
    <row r="164" customFormat="false" ht="15" hidden="false" customHeight="true" outlineLevel="0" collapsed="false">
      <c r="A164" s="21" t="n">
        <v>163</v>
      </c>
      <c r="B164" s="22" t="n">
        <v>45586</v>
      </c>
      <c r="C164" s="21" t="s">
        <v>20</v>
      </c>
      <c r="D164" s="21" t="s">
        <v>18</v>
      </c>
      <c r="E164" s="21" t="s">
        <v>19</v>
      </c>
      <c r="F164" s="21" t="n">
        <v>23</v>
      </c>
      <c r="G164" s="23" t="n">
        <v>10826.76</v>
      </c>
      <c r="H164" s="24" t="n">
        <f aca="false">F164*G164</f>
        <v>249015.48</v>
      </c>
    </row>
    <row r="165" customFormat="false" ht="15" hidden="false" customHeight="true" outlineLevel="0" collapsed="false">
      <c r="A165" s="25" t="n">
        <v>164</v>
      </c>
      <c r="B165" s="26" t="n">
        <v>45587</v>
      </c>
      <c r="C165" s="25" t="s">
        <v>25</v>
      </c>
      <c r="D165" s="25" t="s">
        <v>26</v>
      </c>
      <c r="E165" s="25" t="s">
        <v>19</v>
      </c>
      <c r="F165" s="25" t="n">
        <v>2</v>
      </c>
      <c r="G165" s="27" t="n">
        <v>49627.2</v>
      </c>
      <c r="H165" s="28" t="n">
        <f aca="false">F165*G165</f>
        <v>99254.4</v>
      </c>
    </row>
    <row r="166" customFormat="false" ht="15" hidden="false" customHeight="true" outlineLevel="0" collapsed="false">
      <c r="A166" s="21" t="n">
        <v>165</v>
      </c>
      <c r="B166" s="22" t="n">
        <v>45587</v>
      </c>
      <c r="C166" s="21" t="s">
        <v>27</v>
      </c>
      <c r="D166" s="21" t="s">
        <v>18</v>
      </c>
      <c r="E166" s="21" t="s">
        <v>24</v>
      </c>
      <c r="F166" s="21" t="n">
        <v>6</v>
      </c>
      <c r="G166" s="23" t="n">
        <v>119021.28</v>
      </c>
      <c r="H166" s="24" t="n">
        <f aca="false">F166*G166</f>
        <v>714127.68</v>
      </c>
    </row>
    <row r="167" customFormat="false" ht="15" hidden="false" customHeight="true" outlineLevel="0" collapsed="false">
      <c r="A167" s="25" t="n">
        <v>166</v>
      </c>
      <c r="B167" s="26" t="n">
        <v>45589</v>
      </c>
      <c r="C167" s="25" t="s">
        <v>30</v>
      </c>
      <c r="D167" s="25" t="s">
        <v>26</v>
      </c>
      <c r="E167" s="25" t="s">
        <v>24</v>
      </c>
      <c r="F167" s="25" t="n">
        <v>20</v>
      </c>
      <c r="G167" s="27" t="n">
        <v>29720.88</v>
      </c>
      <c r="H167" s="28" t="n">
        <f aca="false">F167*G167</f>
        <v>594417.6</v>
      </c>
    </row>
    <row r="168" customFormat="false" ht="15" hidden="false" customHeight="true" outlineLevel="0" collapsed="false">
      <c r="A168" s="21" t="n">
        <v>167</v>
      </c>
      <c r="B168" s="22" t="n">
        <v>45591</v>
      </c>
      <c r="C168" s="21" t="s">
        <v>31</v>
      </c>
      <c r="D168" s="21" t="s">
        <v>26</v>
      </c>
      <c r="E168" s="21" t="s">
        <v>19</v>
      </c>
      <c r="F168" s="21" t="n">
        <v>17</v>
      </c>
      <c r="G168" s="23" t="n">
        <v>5600.28</v>
      </c>
      <c r="H168" s="24" t="n">
        <f aca="false">F168*G168</f>
        <v>95204.76</v>
      </c>
    </row>
    <row r="169" customFormat="false" ht="15" hidden="false" customHeight="true" outlineLevel="0" collapsed="false">
      <c r="A169" s="25" t="n">
        <v>168</v>
      </c>
      <c r="B169" s="26" t="n">
        <v>45593</v>
      </c>
      <c r="C169" s="25" t="s">
        <v>25</v>
      </c>
      <c r="D169" s="25" t="s">
        <v>26</v>
      </c>
      <c r="E169" s="25" t="s">
        <v>22</v>
      </c>
      <c r="F169" s="25" t="n">
        <v>23</v>
      </c>
      <c r="G169" s="27" t="n">
        <v>41587.56</v>
      </c>
      <c r="H169" s="28" t="n">
        <f aca="false">F169*G169</f>
        <v>956513.88</v>
      </c>
    </row>
    <row r="170" customFormat="false" ht="15" hidden="false" customHeight="true" outlineLevel="0" collapsed="false">
      <c r="A170" s="21" t="n">
        <v>169</v>
      </c>
      <c r="B170" s="22" t="n">
        <v>45596</v>
      </c>
      <c r="C170" s="21" t="s">
        <v>33</v>
      </c>
      <c r="D170" s="21" t="s">
        <v>18</v>
      </c>
      <c r="E170" s="21" t="s">
        <v>24</v>
      </c>
      <c r="F170" s="21" t="n">
        <v>8</v>
      </c>
      <c r="G170" s="23" t="n">
        <v>4040.4</v>
      </c>
      <c r="H170" s="24" t="n">
        <f aca="false">F170*G170</f>
        <v>32323.2</v>
      </c>
    </row>
    <row r="171" customFormat="false" ht="15" hidden="false" customHeight="true" outlineLevel="0" collapsed="false">
      <c r="A171" s="25" t="n">
        <v>170</v>
      </c>
      <c r="B171" s="26" t="n">
        <v>45600</v>
      </c>
      <c r="C171" s="25" t="s">
        <v>25</v>
      </c>
      <c r="D171" s="25" t="s">
        <v>26</v>
      </c>
      <c r="E171" s="25" t="s">
        <v>24</v>
      </c>
      <c r="F171" s="25" t="n">
        <v>9</v>
      </c>
      <c r="G171" s="27" t="n">
        <v>47133.24</v>
      </c>
      <c r="H171" s="28" t="n">
        <f aca="false">F171*G171</f>
        <v>424199.16</v>
      </c>
    </row>
    <row r="172" customFormat="false" ht="15" hidden="false" customHeight="true" outlineLevel="0" collapsed="false">
      <c r="A172" s="21" t="n">
        <v>171</v>
      </c>
      <c r="B172" s="22" t="n">
        <v>45601</v>
      </c>
      <c r="C172" s="21" t="s">
        <v>30</v>
      </c>
      <c r="D172" s="21" t="s">
        <v>26</v>
      </c>
      <c r="E172" s="21" t="s">
        <v>24</v>
      </c>
      <c r="F172" s="21" t="n">
        <v>24</v>
      </c>
      <c r="G172" s="23" t="n">
        <v>36001.56</v>
      </c>
      <c r="H172" s="24" t="n">
        <f aca="false">F172*G172</f>
        <v>864037.44</v>
      </c>
    </row>
    <row r="173" customFormat="false" ht="15" hidden="false" customHeight="true" outlineLevel="0" collapsed="false">
      <c r="A173" s="25" t="n">
        <v>172</v>
      </c>
      <c r="B173" s="26" t="n">
        <v>45603</v>
      </c>
      <c r="C173" s="25" t="s">
        <v>23</v>
      </c>
      <c r="D173" s="25" t="s">
        <v>18</v>
      </c>
      <c r="E173" s="25" t="s">
        <v>19</v>
      </c>
      <c r="F173" s="25" t="n">
        <v>8</v>
      </c>
      <c r="G173" s="27" t="n">
        <v>6858.6</v>
      </c>
      <c r="H173" s="28" t="n">
        <f aca="false">F173*G173</f>
        <v>54868.8</v>
      </c>
    </row>
    <row r="174" customFormat="false" ht="15" hidden="false" customHeight="true" outlineLevel="0" collapsed="false">
      <c r="A174" s="21" t="n">
        <v>173</v>
      </c>
      <c r="B174" s="22" t="n">
        <v>45608</v>
      </c>
      <c r="C174" s="21" t="s">
        <v>25</v>
      </c>
      <c r="D174" s="21" t="s">
        <v>26</v>
      </c>
      <c r="E174" s="21" t="s">
        <v>24</v>
      </c>
      <c r="F174" s="21" t="n">
        <v>13</v>
      </c>
      <c r="G174" s="23" t="n">
        <v>50447.04</v>
      </c>
      <c r="H174" s="24" t="n">
        <f aca="false">F174*G174</f>
        <v>655811.52</v>
      </c>
    </row>
    <row r="175" customFormat="false" ht="15" hidden="false" customHeight="true" outlineLevel="0" collapsed="false">
      <c r="A175" s="25" t="n">
        <v>174</v>
      </c>
      <c r="B175" s="26" t="n">
        <v>45609</v>
      </c>
      <c r="C175" s="25" t="s">
        <v>33</v>
      </c>
      <c r="D175" s="25" t="s">
        <v>18</v>
      </c>
      <c r="E175" s="25" t="s">
        <v>28</v>
      </c>
      <c r="F175" s="25" t="n">
        <v>19</v>
      </c>
      <c r="G175" s="27" t="n">
        <v>3798.48</v>
      </c>
      <c r="H175" s="28" t="n">
        <f aca="false">F175*G175</f>
        <v>72171.12</v>
      </c>
    </row>
    <row r="176" customFormat="false" ht="15" hidden="false" customHeight="true" outlineLevel="0" collapsed="false">
      <c r="A176" s="21" t="n">
        <v>175</v>
      </c>
      <c r="B176" s="22" t="n">
        <v>45611</v>
      </c>
      <c r="C176" s="21" t="s">
        <v>29</v>
      </c>
      <c r="D176" s="21" t="s">
        <v>18</v>
      </c>
      <c r="E176" s="21" t="s">
        <v>21</v>
      </c>
      <c r="F176" s="21" t="n">
        <v>4</v>
      </c>
      <c r="G176" s="23" t="n">
        <v>40199.88</v>
      </c>
      <c r="H176" s="24" t="n">
        <f aca="false">F176*G176</f>
        <v>160799.52</v>
      </c>
    </row>
    <row r="177" customFormat="false" ht="15" hidden="false" customHeight="true" outlineLevel="0" collapsed="false">
      <c r="A177" s="25" t="n">
        <v>176</v>
      </c>
      <c r="B177" s="26" t="n">
        <v>45612</v>
      </c>
      <c r="C177" s="25" t="s">
        <v>30</v>
      </c>
      <c r="D177" s="25" t="s">
        <v>26</v>
      </c>
      <c r="E177" s="25" t="s">
        <v>28</v>
      </c>
      <c r="F177" s="25" t="n">
        <v>17</v>
      </c>
      <c r="G177" s="27" t="n">
        <v>36283.8</v>
      </c>
      <c r="H177" s="28" t="n">
        <f aca="false">F177*G177</f>
        <v>616824.6</v>
      </c>
    </row>
    <row r="178" customFormat="false" ht="15" hidden="false" customHeight="true" outlineLevel="0" collapsed="false">
      <c r="A178" s="21" t="n">
        <v>177</v>
      </c>
      <c r="B178" s="22" t="n">
        <v>45613</v>
      </c>
      <c r="C178" s="21" t="s">
        <v>23</v>
      </c>
      <c r="D178" s="21" t="s">
        <v>18</v>
      </c>
      <c r="E178" s="21" t="s">
        <v>28</v>
      </c>
      <c r="F178" s="21" t="n">
        <v>14</v>
      </c>
      <c r="G178" s="23" t="n">
        <v>7286.16</v>
      </c>
      <c r="H178" s="24" t="n">
        <f aca="false">F178*G178</f>
        <v>102006.24</v>
      </c>
    </row>
    <row r="179" customFormat="false" ht="15" hidden="false" customHeight="true" outlineLevel="0" collapsed="false">
      <c r="A179" s="25" t="n">
        <v>178</v>
      </c>
      <c r="B179" s="26" t="n">
        <v>45619</v>
      </c>
      <c r="C179" s="25" t="s">
        <v>33</v>
      </c>
      <c r="D179" s="25" t="s">
        <v>18</v>
      </c>
      <c r="E179" s="25" t="s">
        <v>19</v>
      </c>
      <c r="F179" s="25" t="n">
        <v>9</v>
      </c>
      <c r="G179" s="27" t="n">
        <v>3425.52</v>
      </c>
      <c r="H179" s="28" t="n">
        <f aca="false">F179*G179</f>
        <v>30829.68</v>
      </c>
    </row>
    <row r="180" customFormat="false" ht="15" hidden="false" customHeight="true" outlineLevel="0" collapsed="false">
      <c r="A180" s="21" t="n">
        <v>179</v>
      </c>
      <c r="B180" s="22" t="n">
        <v>45622</v>
      </c>
      <c r="C180" s="21" t="s">
        <v>31</v>
      </c>
      <c r="D180" s="21" t="s">
        <v>26</v>
      </c>
      <c r="E180" s="21" t="s">
        <v>22</v>
      </c>
      <c r="F180" s="21" t="n">
        <v>1</v>
      </c>
      <c r="G180" s="23" t="n">
        <v>5525.52</v>
      </c>
      <c r="H180" s="24" t="n">
        <f aca="false">F180*G180</f>
        <v>5525.52</v>
      </c>
    </row>
    <row r="181" customFormat="false" ht="15" hidden="false" customHeight="true" outlineLevel="0" collapsed="false">
      <c r="A181" s="25" t="n">
        <v>180</v>
      </c>
      <c r="B181" s="26" t="n">
        <v>45623</v>
      </c>
      <c r="C181" s="25" t="s">
        <v>23</v>
      </c>
      <c r="D181" s="25" t="s">
        <v>18</v>
      </c>
      <c r="E181" s="25" t="s">
        <v>22</v>
      </c>
      <c r="F181" s="25" t="n">
        <v>5</v>
      </c>
      <c r="G181" s="27" t="n">
        <v>7479.36</v>
      </c>
      <c r="H181" s="28" t="n">
        <f aca="false">F181*G181</f>
        <v>37396.8</v>
      </c>
    </row>
    <row r="182" customFormat="false" ht="15" hidden="false" customHeight="true" outlineLevel="0" collapsed="false">
      <c r="A182" s="21" t="n">
        <v>181</v>
      </c>
      <c r="B182" s="22" t="n">
        <v>45624</v>
      </c>
      <c r="C182" s="21" t="s">
        <v>33</v>
      </c>
      <c r="D182" s="21" t="s">
        <v>18</v>
      </c>
      <c r="E182" s="21" t="s">
        <v>22</v>
      </c>
      <c r="F182" s="21" t="n">
        <v>21</v>
      </c>
      <c r="G182" s="23" t="n">
        <v>4140.36</v>
      </c>
      <c r="H182" s="24" t="n">
        <f aca="false">F182*G182</f>
        <v>86947.56</v>
      </c>
    </row>
    <row r="183" customFormat="false" ht="15" hidden="false" customHeight="true" outlineLevel="0" collapsed="false">
      <c r="A183" s="25" t="n">
        <v>182</v>
      </c>
      <c r="B183" s="26" t="n">
        <v>45625</v>
      </c>
      <c r="C183" s="25" t="s">
        <v>30</v>
      </c>
      <c r="D183" s="25" t="s">
        <v>26</v>
      </c>
      <c r="E183" s="25" t="s">
        <v>24</v>
      </c>
      <c r="F183" s="25" t="n">
        <v>18</v>
      </c>
      <c r="G183" s="27" t="n">
        <v>34440</v>
      </c>
      <c r="H183" s="28" t="n">
        <f aca="false">F183*G183</f>
        <v>619920</v>
      </c>
    </row>
    <row r="184" customFormat="false" ht="15" hidden="false" customHeight="true" outlineLevel="0" collapsed="false">
      <c r="A184" s="21" t="n">
        <v>183</v>
      </c>
      <c r="B184" s="22" t="n">
        <v>45627</v>
      </c>
      <c r="C184" s="21" t="s">
        <v>29</v>
      </c>
      <c r="D184" s="21" t="s">
        <v>18</v>
      </c>
      <c r="E184" s="21" t="s">
        <v>19</v>
      </c>
      <c r="F184" s="21" t="n">
        <v>15</v>
      </c>
      <c r="G184" s="23" t="n">
        <v>38328.36</v>
      </c>
      <c r="H184" s="24" t="n">
        <f aca="false">F184*G184</f>
        <v>574925.4</v>
      </c>
    </row>
    <row r="185" customFormat="false" ht="15" hidden="false" customHeight="true" outlineLevel="0" collapsed="false">
      <c r="A185" s="25" t="n">
        <v>184</v>
      </c>
      <c r="B185" s="26" t="n">
        <v>45627</v>
      </c>
      <c r="C185" s="25" t="s">
        <v>27</v>
      </c>
      <c r="D185" s="25" t="s">
        <v>18</v>
      </c>
      <c r="E185" s="25" t="s">
        <v>22</v>
      </c>
      <c r="F185" s="25" t="n">
        <v>25</v>
      </c>
      <c r="G185" s="27" t="n">
        <v>122555.16</v>
      </c>
      <c r="H185" s="28" t="n">
        <f aca="false">F185*G185</f>
        <v>3063879</v>
      </c>
    </row>
    <row r="186" customFormat="false" ht="15" hidden="false" customHeight="true" outlineLevel="0" collapsed="false">
      <c r="A186" s="21" t="n">
        <v>185</v>
      </c>
      <c r="B186" s="22" t="n">
        <v>45629</v>
      </c>
      <c r="C186" s="21" t="s">
        <v>33</v>
      </c>
      <c r="D186" s="21" t="s">
        <v>18</v>
      </c>
      <c r="E186" s="21" t="s">
        <v>28</v>
      </c>
      <c r="F186" s="21" t="n">
        <v>22</v>
      </c>
      <c r="G186" s="23" t="n">
        <v>3669.96</v>
      </c>
      <c r="H186" s="24" t="n">
        <f aca="false">F186*G186</f>
        <v>80739.12</v>
      </c>
    </row>
    <row r="187" customFormat="false" ht="15" hidden="false" customHeight="true" outlineLevel="0" collapsed="false">
      <c r="A187" s="25" t="n">
        <v>186</v>
      </c>
      <c r="B187" s="26" t="n">
        <v>45630</v>
      </c>
      <c r="C187" s="25" t="s">
        <v>25</v>
      </c>
      <c r="D187" s="25" t="s">
        <v>26</v>
      </c>
      <c r="E187" s="25" t="s">
        <v>19</v>
      </c>
      <c r="F187" s="25" t="n">
        <v>18</v>
      </c>
      <c r="G187" s="27" t="n">
        <v>46405.8</v>
      </c>
      <c r="H187" s="28" t="n">
        <f aca="false">F187*G187</f>
        <v>835304.4</v>
      </c>
    </row>
    <row r="188" customFormat="false" ht="15" hidden="false" customHeight="true" outlineLevel="0" collapsed="false">
      <c r="A188" s="21" t="n">
        <v>187</v>
      </c>
      <c r="B188" s="22" t="n">
        <v>45631</v>
      </c>
      <c r="C188" s="21" t="s">
        <v>32</v>
      </c>
      <c r="D188" s="21" t="s">
        <v>18</v>
      </c>
      <c r="E188" s="21" t="s">
        <v>28</v>
      </c>
      <c r="F188" s="21" t="n">
        <v>18</v>
      </c>
      <c r="G188" s="23" t="n">
        <v>16586.64</v>
      </c>
      <c r="H188" s="24" t="n">
        <f aca="false">F188*G188</f>
        <v>298559.52</v>
      </c>
    </row>
    <row r="189" customFormat="false" ht="15" hidden="false" customHeight="true" outlineLevel="0" collapsed="false">
      <c r="A189" s="25" t="n">
        <v>188</v>
      </c>
      <c r="B189" s="26" t="n">
        <v>45632</v>
      </c>
      <c r="C189" s="25" t="s">
        <v>20</v>
      </c>
      <c r="D189" s="25" t="s">
        <v>18</v>
      </c>
      <c r="E189" s="25" t="s">
        <v>28</v>
      </c>
      <c r="F189" s="25" t="n">
        <v>6</v>
      </c>
      <c r="G189" s="27" t="n">
        <v>11586.96</v>
      </c>
      <c r="H189" s="28" t="n">
        <f aca="false">F189*G189</f>
        <v>69521.76</v>
      </c>
    </row>
    <row r="190" customFormat="false" ht="15" hidden="false" customHeight="true" outlineLevel="0" collapsed="false">
      <c r="A190" s="21" t="n">
        <v>189</v>
      </c>
      <c r="B190" s="22" t="n">
        <v>45634</v>
      </c>
      <c r="C190" s="21" t="s">
        <v>25</v>
      </c>
      <c r="D190" s="21" t="s">
        <v>26</v>
      </c>
      <c r="E190" s="21" t="s">
        <v>22</v>
      </c>
      <c r="F190" s="21" t="n">
        <v>23</v>
      </c>
      <c r="G190" s="23" t="n">
        <v>44580.48</v>
      </c>
      <c r="H190" s="24" t="n">
        <f aca="false">F190*G190</f>
        <v>1025351.04</v>
      </c>
    </row>
    <row r="191" customFormat="false" ht="15" hidden="false" customHeight="true" outlineLevel="0" collapsed="false">
      <c r="A191" s="25" t="n">
        <v>190</v>
      </c>
      <c r="B191" s="26" t="n">
        <v>45634</v>
      </c>
      <c r="C191" s="25" t="s">
        <v>20</v>
      </c>
      <c r="D191" s="25" t="s">
        <v>18</v>
      </c>
      <c r="E191" s="25" t="s">
        <v>21</v>
      </c>
      <c r="F191" s="25" t="n">
        <v>16</v>
      </c>
      <c r="G191" s="27" t="n">
        <v>10663.8</v>
      </c>
      <c r="H191" s="28" t="n">
        <f aca="false">F191*G191</f>
        <v>170620.8</v>
      </c>
    </row>
    <row r="192" customFormat="false" ht="15" hidden="false" customHeight="true" outlineLevel="0" collapsed="false">
      <c r="A192" s="21" t="n">
        <v>191</v>
      </c>
      <c r="B192" s="22" t="n">
        <v>45636</v>
      </c>
      <c r="C192" s="21" t="s">
        <v>30</v>
      </c>
      <c r="D192" s="21" t="s">
        <v>26</v>
      </c>
      <c r="E192" s="21" t="s">
        <v>19</v>
      </c>
      <c r="F192" s="21" t="n">
        <v>7</v>
      </c>
      <c r="G192" s="23" t="n">
        <v>31243.8</v>
      </c>
      <c r="H192" s="24" t="n">
        <f aca="false">F192*G192</f>
        <v>218706.6</v>
      </c>
    </row>
    <row r="193" customFormat="false" ht="15" hidden="false" customHeight="true" outlineLevel="0" collapsed="false">
      <c r="A193" s="25" t="n">
        <v>192</v>
      </c>
      <c r="B193" s="26" t="n">
        <v>45637</v>
      </c>
      <c r="C193" s="25" t="s">
        <v>32</v>
      </c>
      <c r="D193" s="25" t="s">
        <v>18</v>
      </c>
      <c r="E193" s="25" t="s">
        <v>21</v>
      </c>
      <c r="F193" s="25" t="n">
        <v>1</v>
      </c>
      <c r="G193" s="27" t="n">
        <v>17498.04</v>
      </c>
      <c r="H193" s="28" t="n">
        <f aca="false">F193*G193</f>
        <v>17498.04</v>
      </c>
    </row>
    <row r="194" customFormat="false" ht="15" hidden="false" customHeight="true" outlineLevel="0" collapsed="false">
      <c r="A194" s="21" t="n">
        <v>193</v>
      </c>
      <c r="B194" s="22" t="n">
        <v>45641</v>
      </c>
      <c r="C194" s="21" t="s">
        <v>17</v>
      </c>
      <c r="D194" s="21" t="s">
        <v>18</v>
      </c>
      <c r="E194" s="21" t="s">
        <v>21</v>
      </c>
      <c r="F194" s="21" t="n">
        <v>25</v>
      </c>
      <c r="G194" s="23" t="n">
        <v>27319.32</v>
      </c>
      <c r="H194" s="24" t="n">
        <f aca="false">F194*G194</f>
        <v>682983</v>
      </c>
    </row>
    <row r="195" customFormat="false" ht="15" hidden="false" customHeight="true" outlineLevel="0" collapsed="false">
      <c r="A195" s="25" t="n">
        <v>194</v>
      </c>
      <c r="B195" s="26" t="n">
        <v>45645</v>
      </c>
      <c r="C195" s="25" t="s">
        <v>25</v>
      </c>
      <c r="D195" s="25" t="s">
        <v>26</v>
      </c>
      <c r="E195" s="25" t="s">
        <v>21</v>
      </c>
      <c r="F195" s="25" t="n">
        <v>13</v>
      </c>
      <c r="G195" s="27" t="n">
        <v>49723.8</v>
      </c>
      <c r="H195" s="28" t="n">
        <f aca="false">F195*G195</f>
        <v>646409.4</v>
      </c>
    </row>
    <row r="196" customFormat="false" ht="15" hidden="false" customHeight="true" outlineLevel="0" collapsed="false">
      <c r="A196" s="21" t="n">
        <v>195</v>
      </c>
      <c r="B196" s="22" t="n">
        <v>45645</v>
      </c>
      <c r="C196" s="21" t="s">
        <v>23</v>
      </c>
      <c r="D196" s="21" t="s">
        <v>18</v>
      </c>
      <c r="E196" s="21" t="s">
        <v>24</v>
      </c>
      <c r="F196" s="21" t="n">
        <v>24</v>
      </c>
      <c r="G196" s="23" t="n">
        <v>6289.92</v>
      </c>
      <c r="H196" s="24" t="n">
        <f aca="false">F196*G196</f>
        <v>150958.08</v>
      </c>
    </row>
    <row r="197" customFormat="false" ht="15" hidden="false" customHeight="true" outlineLevel="0" collapsed="false">
      <c r="A197" s="25" t="n">
        <v>196</v>
      </c>
      <c r="B197" s="26" t="n">
        <v>45647</v>
      </c>
      <c r="C197" s="25" t="s">
        <v>23</v>
      </c>
      <c r="D197" s="25" t="s">
        <v>18</v>
      </c>
      <c r="E197" s="25" t="s">
        <v>24</v>
      </c>
      <c r="F197" s="25" t="n">
        <v>3</v>
      </c>
      <c r="G197" s="27" t="n">
        <v>7144.2</v>
      </c>
      <c r="H197" s="28" t="n">
        <f aca="false">F197*G197</f>
        <v>21432.6</v>
      </c>
    </row>
    <row r="198" customFormat="false" ht="15" hidden="false" customHeight="true" outlineLevel="0" collapsed="false">
      <c r="A198" s="21" t="n">
        <v>197</v>
      </c>
      <c r="B198" s="22" t="n">
        <v>45648</v>
      </c>
      <c r="C198" s="21" t="s">
        <v>30</v>
      </c>
      <c r="D198" s="21" t="s">
        <v>26</v>
      </c>
      <c r="E198" s="21" t="s">
        <v>24</v>
      </c>
      <c r="F198" s="21" t="n">
        <v>7</v>
      </c>
      <c r="G198" s="23" t="n">
        <v>33937.68</v>
      </c>
      <c r="H198" s="24" t="n">
        <f aca="false">F198*G198</f>
        <v>237563.76</v>
      </c>
    </row>
    <row r="199" customFormat="false" ht="15" hidden="false" customHeight="true" outlineLevel="0" collapsed="false">
      <c r="A199" s="25" t="n">
        <v>198</v>
      </c>
      <c r="B199" s="26" t="n">
        <v>45648</v>
      </c>
      <c r="C199" s="25" t="s">
        <v>27</v>
      </c>
      <c r="D199" s="25" t="s">
        <v>18</v>
      </c>
      <c r="E199" s="25" t="s">
        <v>28</v>
      </c>
      <c r="F199" s="25" t="n">
        <v>25</v>
      </c>
      <c r="G199" s="27" t="n">
        <v>121574.88</v>
      </c>
      <c r="H199" s="28" t="n">
        <f aca="false">F199*G199</f>
        <v>3039372</v>
      </c>
    </row>
    <row r="200" customFormat="false" ht="15" hidden="false" customHeight="true" outlineLevel="0" collapsed="false">
      <c r="A200" s="21" t="n">
        <v>199</v>
      </c>
      <c r="B200" s="22" t="n">
        <v>45650</v>
      </c>
      <c r="C200" s="21" t="s">
        <v>20</v>
      </c>
      <c r="D200" s="21" t="s">
        <v>18</v>
      </c>
      <c r="E200" s="21" t="s">
        <v>28</v>
      </c>
      <c r="F200" s="21" t="n">
        <v>17</v>
      </c>
      <c r="G200" s="23" t="n">
        <v>12306</v>
      </c>
      <c r="H200" s="24" t="n">
        <f aca="false">F200*G200</f>
        <v>209202</v>
      </c>
    </row>
    <row r="201" customFormat="false" ht="15" hidden="false" customHeight="true" outlineLevel="0" collapsed="false">
      <c r="A201" s="25" t="n">
        <v>200</v>
      </c>
      <c r="B201" s="26" t="n">
        <v>45654</v>
      </c>
      <c r="C201" s="25" t="s">
        <v>23</v>
      </c>
      <c r="D201" s="25" t="s">
        <v>18</v>
      </c>
      <c r="E201" s="25" t="s">
        <v>28</v>
      </c>
      <c r="F201" s="25" t="n">
        <v>24</v>
      </c>
      <c r="G201" s="27" t="n">
        <v>6694.8</v>
      </c>
      <c r="H201" s="28" t="n">
        <f aca="false">F201*G201</f>
        <v>160675.2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34</v>
      </c>
      <c r="B1" s="1" t="s">
        <v>35</v>
      </c>
      <c r="C1" s="1" t="s">
        <v>16</v>
      </c>
      <c r="D1" s="1" t="s">
        <v>36</v>
      </c>
      <c r="F1" s="1" t="s">
        <v>37</v>
      </c>
      <c r="G1" s="1" t="s">
        <v>16</v>
      </c>
      <c r="H1" s="1" t="s">
        <v>36</v>
      </c>
      <c r="J1" s="1" t="s">
        <v>13</v>
      </c>
      <c r="K1" s="1" t="s">
        <v>16</v>
      </c>
      <c r="L1" s="1" t="s">
        <v>36</v>
      </c>
    </row>
    <row r="2" customFormat="false" ht="15" hidden="false" customHeight="true" outlineLevel="0" collapsed="false">
      <c r="A2" s="1" t="s">
        <v>38</v>
      </c>
      <c r="B2" s="1" t="n">
        <v>1</v>
      </c>
      <c r="C2" s="1" t="n">
        <f aca="false">SUMPRODUCT((MONTH('Sales Data'!B2:B201)=1)*'Sales Data'!H2:H201)</f>
        <v>5212146.24</v>
      </c>
      <c r="D2" s="1" t="n">
        <f aca="false">SUMPRODUCT((MONTH('Sales Data'!B2:B201)=1)*'Sales Data'!F2:F201)</f>
        <v>173</v>
      </c>
      <c r="F2" s="1" t="s">
        <v>31</v>
      </c>
      <c r="G2" s="1" t="n">
        <f aca="false">SUMIF('Sales Data'!C:C,F2,'Sales Data'!H:H)</f>
        <v>1567515.6</v>
      </c>
      <c r="H2" s="1" t="n">
        <f aca="false">SUMIF('Sales Data'!C:C,F2,'Sales Data'!F:F)</f>
        <v>276</v>
      </c>
      <c r="J2" s="1" t="s">
        <v>28</v>
      </c>
      <c r="K2" s="1" t="n">
        <f aca="false">SUMIF('Sales Data'!E:E,J2,'Sales Data'!H:H)</f>
        <v>20678462.28</v>
      </c>
      <c r="L2" s="1" t="n">
        <f aca="false">SUMIF('Sales Data'!E:E,J2,'Sales Data'!F:F)</f>
        <v>749</v>
      </c>
    </row>
    <row r="3" customFormat="false" ht="15" hidden="false" customHeight="true" outlineLevel="0" collapsed="false">
      <c r="A3" s="1" t="s">
        <v>39</v>
      </c>
      <c r="B3" s="1" t="n">
        <v>2</v>
      </c>
      <c r="C3" s="1" t="n">
        <f aca="false">SUMPRODUCT((MONTH('Sales Data'!B2:B201)=2)*'Sales Data'!H2:H201)</f>
        <v>8625125.04</v>
      </c>
      <c r="D3" s="1" t="n">
        <f aca="false">SUMPRODUCT((MONTH('Sales Data'!B2:B201)=2)*'Sales Data'!F2:F201)</f>
        <v>281</v>
      </c>
      <c r="F3" s="1" t="s">
        <v>30</v>
      </c>
      <c r="G3" s="1" t="n">
        <f aca="false">SUMIF('Sales Data'!C:C,F3,'Sales Data'!H:H)</f>
        <v>12256103.16</v>
      </c>
      <c r="H3" s="1" t="n">
        <f aca="false">SUMIF('Sales Data'!C:C,F3,'Sales Data'!F:F)</f>
        <v>363</v>
      </c>
      <c r="J3" s="1" t="s">
        <v>21</v>
      </c>
      <c r="K3" s="1" t="n">
        <f aca="false">SUMIF('Sales Data'!E:E,J3,'Sales Data'!H:H)</f>
        <v>14561859.48</v>
      </c>
      <c r="L3" s="1" t="n">
        <f aca="false">SUMIF('Sales Data'!E:E,J3,'Sales Data'!F:F)</f>
        <v>463</v>
      </c>
    </row>
    <row r="4" customFormat="false" ht="15" hidden="false" customHeight="true" outlineLevel="0" collapsed="false">
      <c r="A4" s="1" t="s">
        <v>40</v>
      </c>
      <c r="B4" s="1" t="n">
        <v>3</v>
      </c>
      <c r="C4" s="1" t="n">
        <f aca="false">SUMPRODUCT((MONTH('Sales Data'!B2:B201)=3)*'Sales Data'!H2:H201)</f>
        <v>5218773</v>
      </c>
      <c r="D4" s="1" t="n">
        <f aca="false">SUMPRODUCT((MONTH('Sales Data'!B2:B201)=3)*'Sales Data'!F2:F201)</f>
        <v>211</v>
      </c>
      <c r="F4" s="1" t="s">
        <v>17</v>
      </c>
      <c r="G4" s="1" t="n">
        <f aca="false">SUMIF('Sales Data'!C:C,F4,'Sales Data'!H:H)</f>
        <v>5120334.24</v>
      </c>
      <c r="H4" s="1" t="n">
        <f aca="false">SUMIF('Sales Data'!C:C,F4,'Sales Data'!F:F)</f>
        <v>192</v>
      </c>
      <c r="J4" s="1" t="s">
        <v>22</v>
      </c>
      <c r="K4" s="1" t="n">
        <f aca="false">SUMIF('Sales Data'!E:E,J4,'Sales Data'!H:H)</f>
        <v>17197577.88</v>
      </c>
      <c r="L4" s="1" t="n">
        <f aca="false">SUMIF('Sales Data'!E:E,J4,'Sales Data'!F:F)</f>
        <v>497</v>
      </c>
    </row>
    <row r="5" customFormat="false" ht="15" hidden="false" customHeight="true" outlineLevel="0" collapsed="false">
      <c r="A5" s="1" t="s">
        <v>41</v>
      </c>
      <c r="B5" s="1" t="n">
        <v>4</v>
      </c>
      <c r="C5" s="1" t="n">
        <f aca="false">SUMPRODUCT((MONTH('Sales Data'!B2:B201)=4)*'Sales Data'!H2:H201)</f>
        <v>4709365.08</v>
      </c>
      <c r="D5" s="1" t="n">
        <f aca="false">SUMPRODUCT((MONTH('Sales Data'!B2:B201)=4)*'Sales Data'!F2:F201)</f>
        <v>184</v>
      </c>
      <c r="F5" s="1" t="s">
        <v>20</v>
      </c>
      <c r="G5" s="1" t="n">
        <f aca="false">SUMIF('Sales Data'!C:C,F5,'Sales Data'!H:H)</f>
        <v>3299023.56</v>
      </c>
      <c r="H5" s="1" t="n">
        <f aca="false">SUMIF('Sales Data'!C:C,F5,'Sales Data'!F:F)</f>
        <v>298</v>
      </c>
      <c r="J5" s="1" t="s">
        <v>19</v>
      </c>
      <c r="K5" s="1" t="n">
        <f aca="false">SUMIF('Sales Data'!E:E,J5,'Sales Data'!H:H)</f>
        <v>11333208.6</v>
      </c>
      <c r="L5" s="1" t="n">
        <f aca="false">SUMIF('Sales Data'!E:E,J5,'Sales Data'!F:F)</f>
        <v>438</v>
      </c>
    </row>
    <row r="6" customFormat="false" ht="15" hidden="false" customHeight="true" outlineLevel="0" collapsed="false">
      <c r="A6" s="1" t="s">
        <v>42</v>
      </c>
      <c r="B6" s="1" t="n">
        <v>5</v>
      </c>
      <c r="C6" s="1" t="n">
        <f aca="false">SUMPRODUCT((MONTH('Sales Data'!B2:B201)=5)*'Sales Data'!H2:H201)</f>
        <v>4646194.56</v>
      </c>
      <c r="D6" s="1" t="n">
        <f aca="false">SUMPRODUCT((MONTH('Sales Data'!B2:B201)=5)*'Sales Data'!F2:F201)</f>
        <v>192</v>
      </c>
      <c r="F6" s="1" t="s">
        <v>27</v>
      </c>
      <c r="G6" s="1" t="n">
        <f aca="false">SUMIF('Sales Data'!C:C,F6,'Sales Data'!H:H)</f>
        <v>25923891.84</v>
      </c>
      <c r="H6" s="1" t="n">
        <f aca="false">SUMIF('Sales Data'!C:C,F6,'Sales Data'!F:F)</f>
        <v>224</v>
      </c>
      <c r="J6" s="1" t="s">
        <v>24</v>
      </c>
      <c r="K6" s="1" t="n">
        <f aca="false">SUMIF('Sales Data'!E:E,J6,'Sales Data'!H:H)</f>
        <v>14080516.8</v>
      </c>
      <c r="L6" s="1" t="n">
        <f aca="false">SUMIF('Sales Data'!E:E,J6,'Sales Data'!F:F)</f>
        <v>410</v>
      </c>
    </row>
    <row r="7" customFormat="false" ht="15" hidden="false" customHeight="true" outlineLevel="0" collapsed="false">
      <c r="A7" s="1" t="s">
        <v>43</v>
      </c>
      <c r="B7" s="1" t="n">
        <v>6</v>
      </c>
      <c r="C7" s="1" t="n">
        <f aca="false">SUMPRODUCT((MONTH('Sales Data'!B2:B201)=6)*'Sales Data'!H2:H201)</f>
        <v>4206239.52</v>
      </c>
      <c r="D7" s="1" t="n">
        <f aca="false">SUMPRODUCT((MONTH('Sales Data'!B2:B201)=6)*'Sales Data'!F2:F201)</f>
        <v>192</v>
      </c>
      <c r="F7" s="1" t="s">
        <v>29</v>
      </c>
      <c r="G7" s="1" t="n">
        <f aca="false">SUMIF('Sales Data'!C:C,F7,'Sales Data'!H:H)</f>
        <v>7437281.88</v>
      </c>
      <c r="H7" s="1" t="n">
        <f aca="false">SUMIF('Sales Data'!C:C,F7,'Sales Data'!F:F)</f>
        <v>191</v>
      </c>
    </row>
    <row r="8" customFormat="false" ht="15" hidden="false" customHeight="true" outlineLevel="0" collapsed="false">
      <c r="A8" s="1" t="s">
        <v>44</v>
      </c>
      <c r="B8" s="1" t="n">
        <v>7</v>
      </c>
      <c r="C8" s="1" t="n">
        <f aca="false">SUMPRODUCT((MONTH('Sales Data'!B2:B201)=7)*'Sales Data'!H2:H201)</f>
        <v>3049758.6</v>
      </c>
      <c r="D8" s="1" t="n">
        <f aca="false">SUMPRODUCT((MONTH('Sales Data'!B2:B201)=7)*'Sales Data'!F2:F201)</f>
        <v>149</v>
      </c>
      <c r="F8" s="1" t="s">
        <v>25</v>
      </c>
      <c r="G8" s="1" t="n">
        <f aca="false">SUMIF('Sales Data'!C:C,F8,'Sales Data'!H:H)</f>
        <v>16955860.32</v>
      </c>
      <c r="H8" s="1" t="n">
        <f aca="false">SUMIF('Sales Data'!C:C,F8,'Sales Data'!F:F)</f>
        <v>363</v>
      </c>
    </row>
    <row r="9" customFormat="false" ht="15" hidden="false" customHeight="true" outlineLevel="0" collapsed="false">
      <c r="A9" s="1" t="s">
        <v>45</v>
      </c>
      <c r="B9" s="1" t="n">
        <v>8</v>
      </c>
      <c r="C9" s="1" t="n">
        <f aca="false">SUMPRODUCT((MONTH('Sales Data'!B2:B201)=8)*'Sales Data'!H2:H201)</f>
        <v>7341266.52</v>
      </c>
      <c r="D9" s="1" t="n">
        <f aca="false">SUMPRODUCT((MONTH('Sales Data'!B2:B201)=8)*'Sales Data'!F2:F201)</f>
        <v>232</v>
      </c>
      <c r="F9" s="1" t="s">
        <v>23</v>
      </c>
      <c r="G9" s="1" t="n">
        <f aca="false">SUMIF('Sales Data'!C:C,F9,'Sales Data'!H:H)</f>
        <v>1515595.2</v>
      </c>
      <c r="H9" s="1" t="n">
        <f aca="false">SUMIF('Sales Data'!C:C,F9,'Sales Data'!F:F)</f>
        <v>219</v>
      </c>
    </row>
    <row r="10" customFormat="false" ht="15" hidden="false" customHeight="true" outlineLevel="0" collapsed="false">
      <c r="A10" s="1" t="s">
        <v>46</v>
      </c>
      <c r="B10" s="1" t="n">
        <v>9</v>
      </c>
      <c r="C10" s="1" t="n">
        <f aca="false">SUMPRODUCT((MONTH('Sales Data'!B2:B201)=9)*'Sales Data'!H2:H201)</f>
        <v>6816752.88</v>
      </c>
      <c r="D10" s="1" t="n">
        <f aca="false">SUMPRODUCT((MONTH('Sales Data'!B2:B201)=9)*'Sales Data'!F2:F201)</f>
        <v>183</v>
      </c>
      <c r="F10" s="1" t="s">
        <v>32</v>
      </c>
      <c r="G10" s="1" t="n">
        <f aca="false">SUMIF('Sales Data'!C:C,F10,'Sales Data'!H:H)</f>
        <v>2673756.96</v>
      </c>
      <c r="H10" s="1" t="n">
        <f aca="false">SUMIF('Sales Data'!C:C,F10,'Sales Data'!F:F)</f>
        <v>156</v>
      </c>
    </row>
    <row r="11" customFormat="false" ht="15" hidden="false" customHeight="true" outlineLevel="0" collapsed="false">
      <c r="A11" s="1" t="s">
        <v>47</v>
      </c>
      <c r="B11" s="1" t="n">
        <v>10</v>
      </c>
      <c r="C11" s="1" t="n">
        <f aca="false">SUMPRODUCT((MONTH('Sales Data'!B2:B201)=10)*'Sales Data'!H2:H201)</f>
        <v>12790963.92</v>
      </c>
      <c r="D11" s="1" t="n">
        <f aca="false">SUMPRODUCT((MONTH('Sales Data'!B2:B201)=10)*'Sales Data'!F2:F201)</f>
        <v>309</v>
      </c>
      <c r="F11" s="1" t="s">
        <v>33</v>
      </c>
      <c r="G11" s="1" t="n">
        <f aca="false">SUMIF('Sales Data'!C:C,F11,'Sales Data'!H:H)</f>
        <v>1102262.28</v>
      </c>
      <c r="H11" s="1" t="n">
        <f aca="false">SUMIF('Sales Data'!C:C,F11,'Sales Data'!F:F)</f>
        <v>275</v>
      </c>
    </row>
    <row r="12" customFormat="false" ht="15" hidden="false" customHeight="true" outlineLevel="0" collapsed="false">
      <c r="A12" s="1" t="s">
        <v>48</v>
      </c>
      <c r="B12" s="1" t="n">
        <v>11</v>
      </c>
      <c r="C12" s="1" t="n">
        <f aca="false">SUMPRODUCT((MONTH('Sales Data'!B2:B201)=11)*'Sales Data'!H2:H201)</f>
        <v>3731337.96</v>
      </c>
      <c r="D12" s="1" t="n">
        <f aca="false">SUMPRODUCT((MONTH('Sales Data'!B2:B201)=11)*'Sales Data'!F2:F201)</f>
        <v>162</v>
      </c>
    </row>
    <row r="13" customFormat="false" ht="15" hidden="false" customHeight="true" outlineLevel="0" collapsed="false">
      <c r="A13" s="1" t="s">
        <v>49</v>
      </c>
      <c r="B13" s="1" t="n">
        <v>12</v>
      </c>
      <c r="C13" s="1" t="n">
        <f aca="false">SUMPRODUCT((MONTH('Sales Data'!B2:B201)=12)*'Sales Data'!H2:H201)</f>
        <v>11503701.72</v>
      </c>
      <c r="D13" s="1" t="n">
        <f aca="false">SUMPRODUCT((MONTH('Sales Data'!B2:B201)=12)*'Sales Data'!F2:F201)</f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55"/>
  </cols>
  <sheetData>
    <row r="1" customFormat="false" ht="39.75" hidden="false" customHeight="true" outlineLevel="0" collapsed="false">
      <c r="A1" s="29" t="s">
        <v>50</v>
      </c>
      <c r="B1" s="29"/>
      <c r="C1" s="29"/>
      <c r="D1" s="29"/>
    </row>
    <row r="3" customFormat="false" ht="37.5" hidden="false" customHeight="true" outlineLevel="0" collapsed="false">
      <c r="B3" s="30" t="s">
        <v>51</v>
      </c>
      <c r="C3" s="31" t="s">
        <v>52</v>
      </c>
    </row>
    <row r="4" customFormat="false" ht="37.5" hidden="false" customHeight="true" outlineLevel="0" collapsed="false">
      <c r="B4" s="30" t="s">
        <v>53</v>
      </c>
      <c r="C4" s="31" t="s">
        <v>54</v>
      </c>
    </row>
    <row r="5" customFormat="false" ht="37.5" hidden="false" customHeight="true" outlineLevel="0" collapsed="false">
      <c r="B5" s="30" t="s">
        <v>55</v>
      </c>
      <c r="C5" s="31" t="s">
        <v>56</v>
      </c>
    </row>
    <row r="6" customFormat="false" ht="37.5" hidden="false" customHeight="true" outlineLevel="0" collapsed="false">
      <c r="B6" s="30" t="s">
        <v>57</v>
      </c>
      <c r="C6" s="31" t="s">
        <v>58</v>
      </c>
    </row>
    <row r="7" customFormat="false" ht="37.5" hidden="false" customHeight="true" outlineLevel="0" collapsed="false">
      <c r="B7" s="30" t="s">
        <v>59</v>
      </c>
      <c r="C7" s="31" t="s">
        <v>60</v>
      </c>
    </row>
    <row r="8" customFormat="false" ht="37.5" hidden="false" customHeight="true" outlineLevel="0" collapsed="false">
      <c r="B8" s="30" t="s">
        <v>61</v>
      </c>
      <c r="C8" s="31" t="s">
        <v>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2026-06-02T03:41:06Z</dcterms:created>
  <dc:creator>openpyxl</dc:creator>
  <dc:description/>
  <dc:language>en-US</dc:language>
  <cp:lastModifiedBy/>
  <dcterms:modified xsi:type="dcterms:W3CDTF">2026-06-02T03:45:07Z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